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yProjects\ExcelToTrello\send\"/>
    </mc:Choice>
  </mc:AlternateContent>
  <bookViews>
    <workbookView xWindow="0" yWindow="0" windowWidth="28800" windowHeight="12300" activeTab="1"/>
  </bookViews>
  <sheets>
    <sheet name="Ввод" sheetId="3" r:id="rId1"/>
    <sheet name="Реестр" sheetId="1" r:id="rId2"/>
    <sheet name="Bookmarks" sheetId="4" r:id="rId3"/>
    <sheet name="Список_контролеров" sheetId="5" r:id="rId4"/>
  </sheets>
  <definedNames>
    <definedName name="_FilterDatabase" localSheetId="1" hidden="1">Реестр!$B$1:$K$111</definedName>
    <definedName name="Act">Ввод!$F$11:$F$14</definedName>
    <definedName name="CatBrak">Ввод!$F$13</definedName>
    <definedName name="ColAct">Ввод!$F$11</definedName>
    <definedName name="ColKvr">Ввод!$F$9</definedName>
    <definedName name="ContentToClearAct">Ввод!$F$6:$F$14</definedName>
    <definedName name="ContentToClearKvr">Ввод!$F$6:$F$10</definedName>
    <definedName name="Data">Ввод!$F$4</definedName>
    <definedName name="Decimal" localSheetId="2">Bookmarks!$A$4</definedName>
    <definedName name="Decymal">Ввод!$F$6</definedName>
    <definedName name="Dyap_act">OFFSET(Реестр!#REF!,,,COUNTA(Реестр!$H$2:$H$976),)</definedName>
    <definedName name="Dyap_KVR">OFFSET(Реестр!#REF!,,,COUNTA(Реестр!$B$2:$B$976),)</definedName>
    <definedName name="FIO">Ввод!$F$10</definedName>
    <definedName name="hasErrors">Ввод!$B$15</definedName>
    <definedName name="IspBrak">Ввод!$F$14</definedName>
    <definedName name="NumDoc">Ввод!$F$5</definedName>
    <definedName name="NumMc">Ввод!$F$7</definedName>
    <definedName name="OpDef">Ввод!$F$8</definedName>
    <definedName name="PrichBrak">Ввод!$F$12</definedName>
    <definedName name="Print_Area" localSheetId="1">Реестр!$B$29:$K$36</definedName>
    <definedName name="rngBookmarksList">OFFSET(Bookmarks!$A$4,,,COUNTA(Bookmarks!$A$4:$A$100),2)</definedName>
    <definedName name="SDMc">OFFSET(Реестр!#REF!,,,COUNTA(Реестр!$S$2:$S$976),)</definedName>
    <definedName name="SMc">OFFSET(Реестр!#REF!,,,COUNTA(Реестр!$R$2:$R$976),)</definedName>
    <definedName name="SpKontr">OFFSET(Список_контролеров!$A$2,,,COUNTA(Список_контролеров!$A$2:$A$102),)</definedName>
    <definedName name="TrebConsDoc">Ввод!#REF!</definedName>
    <definedName name="TypeDoc">Ввод!$F$3</definedName>
    <definedName name="UDMc">OFFSET(Реестр!#REF!,,,COUNTA(Реестр!$Q$2:$Q$976),)</definedName>
    <definedName name="UMc">OFFSET(Реестр!#REF!,,,COUNTA(Реестр!$P$2:$P$976),)</definedName>
  </definedNames>
  <calcPr calcId="162913"/>
</workbook>
</file>

<file path=xl/calcChain.xml><?xml version="1.0" encoding="utf-8"?>
<calcChain xmlns="http://schemas.openxmlformats.org/spreadsheetml/2006/main">
  <c r="F5" i="3" l="1"/>
  <c r="H5" i="3"/>
  <c r="F4" i="3" l="1"/>
  <c r="B10" i="3" l="1"/>
  <c r="B14" i="3" l="1"/>
  <c r="B13" i="3"/>
  <c r="B3" i="3" l="1"/>
  <c r="B12" i="3" l="1"/>
  <c r="B11" i="3"/>
  <c r="B9" i="3"/>
  <c r="B8" i="3"/>
  <c r="B7" i="3"/>
  <c r="B6" i="3"/>
  <c r="B4" i="3" l="1"/>
  <c r="B5" i="3"/>
  <c r="B15" i="3" l="1"/>
</calcChain>
</file>

<file path=xl/comments1.xml><?xml version="1.0" encoding="utf-8"?>
<comments xmlns="http://schemas.openxmlformats.org/spreadsheetml/2006/main">
  <authors>
    <author>Автор</author>
  </authors>
  <commentList>
    <comment ref="B27" authorId="0" shapeId="0">
      <text>
        <r>
          <rPr>
            <sz val="9"/>
            <color indexed="81"/>
            <rFont val="Tahoma"/>
            <family val="2"/>
            <charset val="204"/>
          </rPr>
          <t xml:space="preserve">допускается на изг-ие КО102.005Б - фиксатор
</t>
        </r>
      </text>
    </comment>
  </commentList>
</comments>
</file>

<file path=xl/sharedStrings.xml><?xml version="1.0" encoding="utf-8"?>
<sst xmlns="http://schemas.openxmlformats.org/spreadsheetml/2006/main" count="233" uniqueCount="151">
  <si>
    <t>Децимальный номер/наименование</t>
  </si>
  <si>
    <t>Номер маршрутной карты</t>
  </si>
  <si>
    <t>№ КВР</t>
  </si>
  <si>
    <t>Описание дефектов</t>
  </si>
  <si>
    <t>Decimal</t>
  </si>
  <si>
    <t>Вид документа</t>
  </si>
  <si>
    <t>Сегодня</t>
  </si>
  <si>
    <t>Причины брака</t>
  </si>
  <si>
    <t>Номер документа</t>
  </si>
  <si>
    <t>Дата</t>
  </si>
  <si>
    <t>Col</t>
  </si>
  <si>
    <t>OpDef</t>
  </si>
  <si>
    <t>FIO</t>
  </si>
  <si>
    <t>NumKvr</t>
  </si>
  <si>
    <t>NumAct</t>
  </si>
  <si>
    <t>Кол-во забракованных деталей</t>
  </si>
  <si>
    <t>Кол-во деталей с отклонениями, шт.</t>
  </si>
  <si>
    <t>Кол-во забракованных деталей, шт.</t>
  </si>
  <si>
    <t>ФИО</t>
  </si>
  <si>
    <t>Категория брака</t>
  </si>
  <si>
    <t>ФИО исполнителя</t>
  </si>
  <si>
    <t>А.С. Бугаев</t>
  </si>
  <si>
    <t>NMc</t>
  </si>
  <si>
    <t>ColAct</t>
  </si>
  <si>
    <t>PrichBrak</t>
  </si>
  <si>
    <t>А.В. Гаврилов</t>
  </si>
  <si>
    <t>Исполнитель брака</t>
  </si>
  <si>
    <t>Т.В. Громова</t>
  </si>
  <si>
    <t>Т.А. Кулагина</t>
  </si>
  <si>
    <t>-</t>
  </si>
  <si>
    <t>Кол-во дет. с отклонениями, шт.</t>
  </si>
  <si>
    <t>Сбой оборудования</t>
  </si>
  <si>
    <t>А.А. Широкова</t>
  </si>
  <si>
    <t>Децимальный номер и наименование изделия</t>
  </si>
  <si>
    <t>МК сборки</t>
  </si>
  <si>
    <t>МК ПФ</t>
  </si>
  <si>
    <t>МК узла</t>
  </si>
  <si>
    <t>Децимальный номер и наименование узла</t>
  </si>
  <si>
    <t>Отклонение выявил (ФИО)</t>
  </si>
  <si>
    <t>КВР</t>
  </si>
  <si>
    <t>DateAct</t>
  </si>
  <si>
    <t>CatBrak</t>
  </si>
  <si>
    <t>FIOAct</t>
  </si>
  <si>
    <t>FIOIsp</t>
  </si>
  <si>
    <t>DateKvr</t>
  </si>
  <si>
    <t>UMc</t>
  </si>
  <si>
    <t>UDMc</t>
  </si>
  <si>
    <t>SMc</t>
  </si>
  <si>
    <t>SDMc</t>
  </si>
  <si>
    <t>Марка станка</t>
  </si>
  <si>
    <t>Инв.№</t>
  </si>
  <si>
    <t>Л.В. Быстрова</t>
  </si>
  <si>
    <t>Номер акта о несоответствии</t>
  </si>
  <si>
    <t>Дата составления Акта о несоответствии</t>
  </si>
  <si>
    <t>Причина несоответствия</t>
  </si>
  <si>
    <t>Категория несоответствия</t>
  </si>
  <si>
    <t>Акт о несоответствии составил (ФИО)</t>
  </si>
  <si>
    <t>Виновность исполнителя</t>
  </si>
  <si>
    <t>Zero</t>
  </si>
  <si>
    <t>Нет</t>
  </si>
  <si>
    <t>±</t>
  </si>
  <si>
    <t>не установлено</t>
  </si>
  <si>
    <t>Г.В. Миюзова</t>
  </si>
  <si>
    <t>ПХГМЦ.168/245.010.024/002-обойма</t>
  </si>
  <si>
    <t>А.М. Емельянова</t>
  </si>
  <si>
    <t>р-р 42 мм фактически выполнен 45 мм</t>
  </si>
  <si>
    <t>Сбой оборудования 1М63Н 3000 инв. № не установлено</t>
  </si>
  <si>
    <t>Якунин</t>
  </si>
  <si>
    <t>1М63Н 3000</t>
  </si>
  <si>
    <t>ПГМЦ.102/89.008А/002-Седло</t>
  </si>
  <si>
    <t>Зарез резьбы М92х2LH-6g</t>
  </si>
  <si>
    <t>Сбой оборудования Топпер инв. № не установлен</t>
  </si>
  <si>
    <t>Баранов</t>
  </si>
  <si>
    <t>Топпер</t>
  </si>
  <si>
    <t>не установлен</t>
  </si>
  <si>
    <t>ПХРЦ.114/168.020.015/002-Гайка</t>
  </si>
  <si>
    <t>Множественные зарезы на наружнем диаметре</t>
  </si>
  <si>
    <t>Сбой оборудования FSS350 инв. №112</t>
  </si>
  <si>
    <t>Дронов</t>
  </si>
  <si>
    <t>FSS350</t>
  </si>
  <si>
    <t>ФПЗН1.114.00.001/002 Корпус</t>
  </si>
  <si>
    <t>канавка вид "В" Ø108,4(-0,087)мм  выполнен эллипс от 108,3 мм 108,2мм. Ø114(-0,120)(-0,207)мм выполнен эллипс от 113,9 мм до 113,7 мм.</t>
  </si>
  <si>
    <t>ПГРПЗ.102/118.013А/001 Цилиндр</t>
  </si>
  <si>
    <t>МСГРПЦ-ГР.114.001 /000 корпус</t>
  </si>
  <si>
    <t>глубина  одного отверстия М37*1-7H (вид Г) 18,5+0,084 выполнена 19,2</t>
  </si>
  <si>
    <t>ПХЦ.168/245.010.006/000 корпус</t>
  </si>
  <si>
    <t>справа от торца Ø 72(-0,06;-0,134) выполнен 72-0,25</t>
  </si>
  <si>
    <t>ПХГМЦ.114/168.010.011/009-корпус</t>
  </si>
  <si>
    <t>Сбой оборудования 16М30Ф3 инв. № не установлен</t>
  </si>
  <si>
    <t>Капранов</t>
  </si>
  <si>
    <t>16М30Ф3</t>
  </si>
  <si>
    <t xml:space="preserve"> не установлен</t>
  </si>
  <si>
    <t>Р-р 12 мм фактически выполнен 20 мм, фаска 45° отсутствует.( КВР 344/19)</t>
  </si>
  <si>
    <t>Сбой оборудования DMC 1450 инв. № 109</t>
  </si>
  <si>
    <t>Власов</t>
  </si>
  <si>
    <t>DMC 1450</t>
  </si>
  <si>
    <t>ПГРП.102/136.016/001-втулка</t>
  </si>
  <si>
    <t>Дефект выявленный на этапе токарной обработке.</t>
  </si>
  <si>
    <t>Скрытый дефект материала</t>
  </si>
  <si>
    <t>Смирнов</t>
  </si>
  <si>
    <t xml:space="preserve">твердость 28...32 HRC фактически ТО отсутствует (КВР №347/19) </t>
  </si>
  <si>
    <t>Сбой оборудования 16К40 инв. № не установлен</t>
  </si>
  <si>
    <t>Каримов</t>
  </si>
  <si>
    <t>16К40</t>
  </si>
  <si>
    <t>ПГРП.114/136.011-срезной винт</t>
  </si>
  <si>
    <t>Протокол №5К/20</t>
  </si>
  <si>
    <t>А.А. Максименко</t>
  </si>
  <si>
    <t>ПГМЦ.102/01.014А-винт срезной</t>
  </si>
  <si>
    <t>Протокол №504К/19</t>
  </si>
  <si>
    <t>Человеческий фактор</t>
  </si>
  <si>
    <t>Дрынов</t>
  </si>
  <si>
    <t>Сбой оборудования 16М30Ф3 инв. №АР21</t>
  </si>
  <si>
    <t>Рогалев</t>
  </si>
  <si>
    <t>АР21</t>
  </si>
  <si>
    <t xml:space="preserve">Дет.№1-5: Ø 110(+0,087)мм выполнен 111мм; Ø111мм выполнен 112мм; Ø106мм выполнен 107мм. </t>
  </si>
  <si>
    <t>Децимальный номер</t>
  </si>
  <si>
    <t>К.А. Ермакова</t>
  </si>
  <si>
    <t>Л.В. Терентьева</t>
  </si>
  <si>
    <t>Ø</t>
  </si>
  <si>
    <t>Максименко Андрей Александрович</t>
  </si>
  <si>
    <t>Емельянова Анна Михайловна</t>
  </si>
  <si>
    <t>Бугаев Александр Сергеевич</t>
  </si>
  <si>
    <t>Гаврилов Андрей Владимирович</t>
  </si>
  <si>
    <t>Громова Татьяна Викторовна</t>
  </si>
  <si>
    <t>Кулагина Татьяна Александровна</t>
  </si>
  <si>
    <t>Широкова Алина Андреевна</t>
  </si>
  <si>
    <t>Миюзова Галина Вячеславовна</t>
  </si>
  <si>
    <t>Терентьева Любовь Васильевна</t>
  </si>
  <si>
    <t>Ермакова Кристина Алексеевна</t>
  </si>
  <si>
    <t>Р210ВС62</t>
  </si>
  <si>
    <t>Е342ЕС62</t>
  </si>
  <si>
    <t>Е258НС62</t>
  </si>
  <si>
    <t>нет</t>
  </si>
  <si>
    <t>У321КО62</t>
  </si>
  <si>
    <t>Х073СТ62</t>
  </si>
  <si>
    <t>М789СО62</t>
  </si>
  <si>
    <t>В740ВО62</t>
  </si>
  <si>
    <t>м</t>
  </si>
  <si>
    <t>ч</t>
  </si>
  <si>
    <t>Брагина Елена Александровна</t>
  </si>
  <si>
    <t>Е.А. Брагина</t>
  </si>
  <si>
    <t>°</t>
  </si>
  <si>
    <t>÷</t>
  </si>
  <si>
    <t xml:space="preserve"> </t>
  </si>
  <si>
    <t>Нарушение технологии изготовления деталей</t>
  </si>
  <si>
    <t>Е.В. Деева</t>
  </si>
  <si>
    <t>Деева Екатерина Васильевна</t>
  </si>
  <si>
    <t>А. Баранова</t>
  </si>
  <si>
    <t>ПО.003/002-втулка</t>
  </si>
  <si>
    <t>Размер 60мм выполнен 48мм.</t>
  </si>
  <si>
    <t>Да,отсутствие контроля за выполнеными размерами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</si>
</sst>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00"/>
    <numFmt numFmtId="166" formatCode="m/d/yyyy"/>
    <numFmt numFmtId="167" formatCode="dd/mm/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i/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D9FFD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FFFC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FEC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07">
    <xf numFmtId="0" fontId="0" fillId="0" borderId="0" xfId="0"/>
    <xf numFmtId="0" fontId="0" fillId="0" borderId="0" xfId="0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/>
    <xf numFmtId="49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4" fillId="0" borderId="0" xfId="0" applyFont="1"/>
    <xf numFmtId="0" fontId="11" fillId="0" borderId="0" xfId="0" applyFont="1"/>
    <xf numFmtId="0" fontId="2" fillId="0" borderId="0" xfId="0" applyFont="1"/>
    <xf numFmtId="0" fontId="0" fillId="2" borderId="0" xfId="0" applyFill="1" applyAlignment="1" applyProtection="1">
      <alignment wrapText="1"/>
      <protection locked="0"/>
    </xf>
    <xf numFmtId="0" fontId="0" fillId="4" borderId="0" xfId="0" applyFill="1" applyProtection="1">
      <protection locked="0"/>
    </xf>
    <xf numFmtId="0" fontId="0" fillId="5" borderId="0" xfId="0" applyFill="1" applyAlignment="1" applyProtection="1">
      <alignment wrapText="1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12" fillId="5" borderId="0" xfId="0" applyFont="1" applyFill="1" applyAlignment="1" applyProtection="1">
      <alignment wrapText="1"/>
      <protection locked="0"/>
    </xf>
    <xf numFmtId="0" fontId="12" fillId="5" borderId="1" xfId="0" applyFont="1" applyFill="1" applyBorder="1" applyAlignment="1" applyProtection="1">
      <alignment wrapText="1"/>
      <protection locked="0"/>
    </xf>
    <xf numFmtId="0" fontId="0" fillId="5" borderId="0" xfId="0" applyFill="1" applyProtection="1">
      <protection locked="0"/>
    </xf>
    <xf numFmtId="0" fontId="0" fillId="5" borderId="0" xfId="0" applyFill="1" applyBorder="1" applyAlignment="1" applyProtection="1">
      <alignment wrapText="1"/>
      <protection locked="0"/>
    </xf>
    <xf numFmtId="164" fontId="0" fillId="0" borderId="0" xfId="0" applyNumberFormat="1"/>
    <xf numFmtId="0" fontId="4" fillId="0" borderId="1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3" fillId="6" borderId="2" xfId="0" applyFont="1" applyFill="1" applyBorder="1" applyAlignment="1" applyProtection="1">
      <alignment horizontal="left" vertical="center" wrapText="1"/>
      <protection locked="0"/>
    </xf>
    <xf numFmtId="0" fontId="13" fillId="6" borderId="6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15" fillId="3" borderId="4" xfId="0" applyFont="1" applyFill="1" applyBorder="1" applyAlignment="1" applyProtection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wrapText="1"/>
    </xf>
    <xf numFmtId="165" fontId="4" fillId="0" borderId="1" xfId="0" applyNumberFormat="1" applyFont="1" applyBorder="1" applyAlignment="1">
      <alignment horizontal="center" wrapText="1"/>
    </xf>
    <xf numFmtId="0" fontId="17" fillId="0" borderId="1" xfId="0" applyFont="1" applyBorder="1" applyAlignment="1">
      <alignment horizont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16" fillId="0" borderId="7" xfId="0" applyFont="1" applyBorder="1" applyProtection="1"/>
    <xf numFmtId="0" fontId="14" fillId="0" borderId="4" xfId="0" applyFont="1" applyBorder="1" applyAlignment="1" applyProtection="1">
      <alignment horizontal="left" vertical="center" wrapText="1"/>
    </xf>
    <xf numFmtId="0" fontId="14" fillId="0" borderId="5" xfId="0" applyFont="1" applyBorder="1" applyAlignment="1" applyProtection="1">
      <alignment horizontal="left" vertical="center" wrapText="1"/>
    </xf>
    <xf numFmtId="0" fontId="0" fillId="0" borderId="8" xfId="0" applyBorder="1" applyAlignment="1">
      <alignment vertical="center"/>
    </xf>
    <xf numFmtId="0" fontId="18" fillId="0" borderId="9" xfId="0" applyFont="1" applyBorder="1" applyAlignment="1">
      <alignment horizontal="center" wrapText="1"/>
    </xf>
    <xf numFmtId="14" fontId="4" fillId="0" borderId="1" xfId="0" applyNumberFormat="1" applyFont="1" applyBorder="1" applyAlignment="1">
      <alignment horizontal="center" wrapText="1"/>
    </xf>
    <xf numFmtId="14" fontId="7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4" fontId="3" fillId="0" borderId="1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right" vertical="center"/>
    </xf>
    <xf numFmtId="165" fontId="3" fillId="0" borderId="10" xfId="0" applyNumberFormat="1" applyFont="1" applyBorder="1" applyAlignment="1">
      <alignment horizontal="center" vertical="center" wrapText="1"/>
    </xf>
    <xf numFmtId="14" fontId="15" fillId="3" borderId="4" xfId="0" applyNumberFormat="1" applyFont="1" applyFill="1" applyBorder="1" applyAlignment="1" applyProtection="1">
      <alignment horizontal="center" vertical="center" wrapText="1"/>
    </xf>
    <xf numFmtId="14" fontId="19" fillId="7" borderId="12" xfId="0" applyNumberFormat="1" applyFont="1" applyFill="1" applyBorder="1" applyAlignment="1">
      <alignment horizontal="center" vertical="center" wrapText="1"/>
    </xf>
    <xf numFmtId="0" fontId="2" fillId="7" borderId="10" xfId="0" applyNumberFormat="1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left" vertical="center" wrapText="1"/>
    </xf>
    <xf numFmtId="14" fontId="19" fillId="0" borderId="1" xfId="0" applyNumberFormat="1" applyFont="1" applyBorder="1" applyAlignment="1">
      <alignment horizontal="center" vertical="center" wrapText="1"/>
    </xf>
    <xf numFmtId="14" fontId="19" fillId="0" borderId="10" xfId="0" applyNumberFormat="1" applyFont="1" applyBorder="1" applyAlignment="1">
      <alignment horizontal="center" vertical="center" wrapText="1"/>
    </xf>
    <xf numFmtId="0" fontId="14" fillId="0" borderId="13" xfId="0" applyFont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/>
    </xf>
    <xf numFmtId="167" fontId="19" fillId="0" borderId="1" xfId="0" applyNumberFormat="1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 wrapText="1"/>
    </xf>
    <xf numFmtId="167" fontId="19" fillId="0" borderId="10" xfId="0" applyNumberFormat="1" applyFont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center" vertical="center" wrapText="1"/>
    </xf>
    <xf numFmtId="0" fontId="22" fillId="2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>
      <alignment horizontal="center" vertical="center" wrapText="1"/>
    </xf>
    <xf numFmtId="14" fontId="20" fillId="0" borderId="11" xfId="0" applyNumberFormat="1" applyFont="1" applyFill="1" applyBorder="1" applyAlignment="1">
      <alignment horizontal="center" vertical="center" wrapText="1"/>
    </xf>
    <xf numFmtId="0" fontId="2" fillId="9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3" fillId="10" borderId="0" xfId="0" applyFont="1" applyFill="1" applyAlignment="1" applyProtection="1"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14" xfId="0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14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/>
  </cellXfs>
  <cellStyles count="2">
    <cellStyle name="Обычный" xfId="0" builtinId="0"/>
    <cellStyle name="Обычный 2" xfId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0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E2A7FF"/>
        </patternFill>
      </fill>
    </dxf>
    <dxf>
      <fill>
        <patternFill>
          <bgColor theme="8" tint="-0.24994659260841701"/>
        </patternFill>
      </fill>
    </dxf>
    <dxf>
      <fill>
        <patternFill>
          <bgColor rgb="FFEA93FF"/>
        </patternFill>
      </fill>
    </dxf>
  </dxfs>
  <tableStyles count="0" defaultTableStyle="TableStyleMedium2" defaultPivotStyle="PivotStyleMedium9"/>
  <colors>
    <mruColors>
      <color rgb="FFE2A7FF"/>
      <color rgb="FFCC66FF"/>
      <color rgb="FFFF66FF"/>
      <color rgb="FFD071FF"/>
      <color rgb="FFCC99FF"/>
      <color rgb="FFFF99FF"/>
      <color rgb="FFEA93FF"/>
      <color rgb="FFDFFFCD"/>
      <color rgb="FFE5FEAC"/>
      <color rgb="FFAB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1149569</xdr:colOff>
      <xdr:row>0</xdr:row>
      <xdr:rowOff>164224</xdr:rowOff>
    </xdr:from>
    <xdr:to>
      <xdr:col>5</xdr:col>
      <xdr:colOff>4322379</xdr:colOff>
      <xdr:row>1</xdr:row>
      <xdr:rowOff>486103</xdr:rowOff>
    </xdr:to>
    <xdr:sp macro="[0]!Прямоугольник2_Щелчок" textlink="">
      <xdr:nvSpPr>
        <xdr:cNvPr id="5" name="Скругленный прямоугольник 4"/>
        <xdr:cNvSpPr/>
      </xdr:nvSpPr>
      <xdr:spPr>
        <a:xfrm>
          <a:off x="3593224" y="164224"/>
          <a:ext cx="5347138" cy="5912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 b="1"/>
            <a:t>СФОРМИРОВАТЬ</a:t>
          </a:r>
          <a:r>
            <a:rPr lang="ru-RU" sz="2800" b="1" baseline="0"/>
            <a:t> ДОКУМЕНТ</a:t>
          </a:r>
          <a:endParaRPr lang="ru-RU" sz="2800" b="1"/>
        </a:p>
      </xdr:txBody>
    </xdr:sp>
    <xdr:clientData/>
  </xdr:two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2" name="TextBox 1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3" name="TextBox 2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1608992</xdr:colOff>
      <xdr:row>4</xdr:row>
      <xdr:rowOff>26377</xdr:rowOff>
    </xdr:from>
    <xdr:ext cx="65" cy="172227"/>
    <xdr:sp macro="" textlink="">
      <xdr:nvSpPr>
        <xdr:cNvPr id="4" name="TextBox 3"/>
        <xdr:cNvSpPr txBox="1"/>
      </xdr:nvSpPr>
      <xdr:spPr>
        <a:xfrm>
          <a:off x="4459165" y="146245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369094</xdr:colOff>
      <xdr:row>0</xdr:row>
      <xdr:rowOff>257175</xdr:rowOff>
    </xdr:from>
    <xdr:to>
      <xdr:col>2</xdr:col>
      <xdr:colOff>1869282</xdr:colOff>
      <xdr:row>0</xdr:row>
      <xdr:rowOff>895351</xdr:rowOff>
    </xdr:to>
    <xdr:sp macro="[0]!Скругленныйпрямоугольник2_Щелчок" textlink="">
      <xdr:nvSpPr>
        <xdr:cNvPr id="3" name="Скругленный прямоугольник 2"/>
        <xdr:cNvSpPr/>
      </xdr:nvSpPr>
      <xdr:spPr>
        <a:xfrm>
          <a:off x="1964532" y="257175"/>
          <a:ext cx="1500188" cy="638176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 КВР</a:t>
          </a:r>
        </a:p>
      </xdr:txBody>
    </xdr:sp>
    <xdr:clientData/>
  </xdr:twoCellAnchor>
  <xdr:twoCellAnchor>
    <xdr:from>
      <xdr:col>2</xdr:col>
      <xdr:colOff>2269332</xdr:colOff>
      <xdr:row>0</xdr:row>
      <xdr:rowOff>233362</xdr:rowOff>
    </xdr:from>
    <xdr:to>
      <xdr:col>3</xdr:col>
      <xdr:colOff>609601</xdr:colOff>
      <xdr:row>0</xdr:row>
      <xdr:rowOff>890587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64770" y="233362"/>
          <a:ext cx="1590675" cy="657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Открыть/создать Акт о браке</a:t>
          </a:r>
        </a:p>
      </xdr:txBody>
    </xdr:sp>
    <xdr:clientData/>
  </xdr:twoCellAnchor>
  <xdr:twoCellAnchor>
    <xdr:from>
      <xdr:col>5</xdr:col>
      <xdr:colOff>183356</xdr:colOff>
      <xdr:row>0</xdr:row>
      <xdr:rowOff>250031</xdr:rowOff>
    </xdr:from>
    <xdr:to>
      <xdr:col>5</xdr:col>
      <xdr:colOff>1919287</xdr:colOff>
      <xdr:row>0</xdr:row>
      <xdr:rowOff>888206</xdr:rowOff>
    </xdr:to>
    <xdr:sp macro="[0]!Скругленныйпрямоугольник3_Щелчок" textlink="">
      <xdr:nvSpPr>
        <xdr:cNvPr id="4" name="Скругленный прямоугольник 3"/>
        <xdr:cNvSpPr/>
      </xdr:nvSpPr>
      <xdr:spPr>
        <a:xfrm>
          <a:off x="6648450" y="250031"/>
          <a:ext cx="1735931" cy="638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Создать Акт</a:t>
          </a:r>
          <a:r>
            <a:rPr lang="ru-RU" sz="1400" b="1" baseline="0"/>
            <a:t> о браке без КВР</a:t>
          </a:r>
          <a:endParaRPr lang="ru-RU" sz="1400" b="1"/>
        </a:p>
      </xdr:txBody>
    </xdr:sp>
    <xdr:clientData/>
  </xdr:twoCellAnchor>
  <xdr:twoCellAnchor>
    <xdr:from>
      <xdr:col>0</xdr:col>
      <xdr:colOff>83343</xdr:colOff>
      <xdr:row>0</xdr:row>
      <xdr:rowOff>261937</xdr:rowOff>
    </xdr:from>
    <xdr:to>
      <xdr:col>2</xdr:col>
      <xdr:colOff>47624</xdr:colOff>
      <xdr:row>0</xdr:row>
      <xdr:rowOff>904874</xdr:rowOff>
    </xdr:to>
    <xdr:sp macro="[0]!НапечаттатьКВР_Щелчок" textlink="">
      <xdr:nvSpPr>
        <xdr:cNvPr id="5" name="Скругленный прямоугольник 4"/>
        <xdr:cNvSpPr/>
      </xdr:nvSpPr>
      <xdr:spPr>
        <a:xfrm>
          <a:off x="83343" y="261937"/>
          <a:ext cx="1559719" cy="642937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РАСПЕЧАТАТЬ</a:t>
          </a:r>
          <a:r>
            <a:rPr lang="ru-RU" sz="1400" baseline="0"/>
            <a:t> </a:t>
          </a:r>
          <a:r>
            <a:rPr lang="ru-RU" sz="1600" baseline="0"/>
            <a:t>КВР</a:t>
          </a:r>
          <a:endParaRPr lang="ru-RU" sz="1600"/>
        </a:p>
      </xdr:txBody>
    </xdr:sp>
    <xdr:clientData/>
  </xdr:twoCellAnchor>
  <xdr:twoCellAnchor>
    <xdr:from>
      <xdr:col>5</xdr:col>
      <xdr:colOff>2993572</xdr:colOff>
      <xdr:row>0</xdr:row>
      <xdr:rowOff>258536</xdr:rowOff>
    </xdr:from>
    <xdr:to>
      <xdr:col>5</xdr:col>
      <xdr:colOff>4218214</xdr:colOff>
      <xdr:row>0</xdr:row>
      <xdr:rowOff>666750</xdr:rowOff>
    </xdr:to>
    <xdr:sp macro="[0]!Отправить" textlink="">
      <xdr:nvSpPr>
        <xdr:cNvPr id="6" name="Скругленный прямоугольник 5"/>
        <xdr:cNvSpPr/>
      </xdr:nvSpPr>
      <xdr:spPr>
        <a:xfrm>
          <a:off x="9484179" y="258536"/>
          <a:ext cx="1224642" cy="40821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Отправить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5" displayName="Таблица5" ref="A1:U12" totalsRowShown="0" headerRowDxfId="44" headerRowBorderDxfId="43" tableBorderDxfId="42" totalsRowBorderDxfId="41">
  <autoFilter ref="A1:U12"/>
  <sortState ref="A2:T220">
    <sortCondition ref="A1:A220"/>
  </sortState>
  <tableColumns count="21">
    <tableColumn id="9" name="Дата" dataDxfId="40" totalsRowDxfId="39"/>
    <tableColumn id="1" name="№ КВР" dataDxfId="38" totalsRowDxfId="37"/>
    <tableColumn id="2" name="Децимальный номер/наименование" dataDxfId="36" totalsRowDxfId="35"/>
    <tableColumn id="3" name="МК ПФ" dataDxfId="34" totalsRowDxfId="33"/>
    <tableColumn id="4" name="Кол-во дет. с отклонениями, шт." dataDxfId="32" totalsRowDxfId="31"/>
    <tableColumn id="5" name="Описание дефектов" dataDxfId="30" totalsRowDxfId="29"/>
    <tableColumn id="6" name="Отклонение выявил (ФИО)" dataDxfId="28" totalsRowDxfId="27"/>
    <tableColumn id="7" name="Номер акта о несоответствии" dataDxfId="26" totalsRowDxfId="25"/>
    <tableColumn id="10" name="Дата составления Акта о несоответствии" dataDxfId="24" totalsRowDxfId="23"/>
    <tableColumn id="11" name="Кол-во забракованных деталей" dataDxfId="22" totalsRowDxfId="21"/>
    <tableColumn id="8" name="Причина несоответствия" dataDxfId="20"/>
    <tableColumn id="12" name="Категория несоответствия" dataDxfId="19" totalsRowDxfId="18"/>
    <tableColumn id="18" name="Акт о несоответствии составил (ФИО)" dataDxfId="17" totalsRowDxfId="16"/>
    <tableColumn id="14" name="ФИО исполнителя" dataDxfId="15" totalsRowDxfId="14"/>
    <tableColumn id="21" name="Виновность исполнителя" dataDxfId="13" totalsRowDxfId="12"/>
    <tableColumn id="13" name="МК сборки" dataDxfId="11" totalsRowDxfId="10"/>
    <tableColumn id="15" name="Децимальный номер и наименование изделия" dataDxfId="9" totalsRowDxfId="8"/>
    <tableColumn id="16" name="МК узла" dataDxfId="7" totalsRowDxfId="6"/>
    <tableColumn id="17" name="Децимальный номер и наименование узла" dataDxfId="5" totalsRowDxfId="4"/>
    <tableColumn id="19" name="Марка станка" dataDxfId="3" totalsRowDxfId="2"/>
    <tableColumn id="20" name="Инв.№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A14" totalsRowShown="0">
  <autoFilter ref="A1:A14"/>
  <tableColumns count="1">
    <tableColumn id="1" name="ФИО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7"/>
  <sheetViews>
    <sheetView zoomScale="130" zoomScaleNormal="130" workbookViewId="0">
      <selection activeCell="F10" sqref="F10"/>
    </sheetView>
  </sheetViews>
  <sheetFormatPr defaultColWidth="9.140625" defaultRowHeight="15" zeroHeight="1" x14ac:dyDescent="0.25"/>
  <cols>
    <col min="1" max="1" width="9.140625" style="16" customWidth="1"/>
    <col min="2" max="3" width="9.140625" style="16" hidden="1" customWidth="1"/>
    <col min="4" max="4" width="14.5703125" style="16" hidden="1" customWidth="1"/>
    <col min="5" max="5" width="33.5703125" style="11" customWidth="1"/>
    <col min="6" max="6" width="74.5703125" style="11" customWidth="1"/>
    <col min="7" max="11" width="9.28515625" style="16" hidden="1" customWidth="1"/>
    <col min="12" max="14" width="9.140625" style="11" customWidth="1"/>
    <col min="15" max="16384" width="9.140625" style="11"/>
  </cols>
  <sheetData>
    <row r="1" spans="1:13" s="12" customFormat="1" ht="21" customHeight="1" x14ac:dyDescent="0.25"/>
    <row r="2" spans="1:13" s="12" customFormat="1" ht="53.25" customHeight="1" thickBot="1" x14ac:dyDescent="0.3">
      <c r="E2" s="17"/>
    </row>
    <row r="3" spans="1:13" s="10" customFormat="1" ht="19.5" thickBot="1" x14ac:dyDescent="0.3">
      <c r="A3" s="12"/>
      <c r="B3" s="13" t="b">
        <f>LEN(TypeDoc)=0</f>
        <v>0</v>
      </c>
      <c r="C3" s="12"/>
      <c r="D3" s="12"/>
      <c r="E3" s="23" t="s">
        <v>5</v>
      </c>
      <c r="F3" s="40" t="s">
        <v>39</v>
      </c>
      <c r="G3" s="12"/>
      <c r="H3" s="12"/>
      <c r="I3" s="12"/>
      <c r="J3" s="12"/>
      <c r="K3" s="12"/>
    </row>
    <row r="4" spans="1:13" s="10" customFormat="1" ht="19.5" thickBot="1" x14ac:dyDescent="0.3">
      <c r="A4" s="12"/>
      <c r="B4" s="13" t="b">
        <f ca="1">LEN(Data)=0</f>
        <v>0</v>
      </c>
      <c r="C4" s="14"/>
      <c r="D4" s="14"/>
      <c r="E4" s="23" t="s">
        <v>6</v>
      </c>
      <c r="F4" s="81">
        <f ca="1">TODAY()</f>
        <v>44130</v>
      </c>
      <c r="G4" s="12"/>
      <c r="H4" s="12"/>
      <c r="I4" s="12"/>
      <c r="J4" s="12"/>
      <c r="K4" s="12"/>
      <c r="M4" s="89" t="s">
        <v>118</v>
      </c>
    </row>
    <row r="5" spans="1:13" s="10" customFormat="1" ht="19.5" thickBot="1" x14ac:dyDescent="0.3">
      <c r="A5" s="12"/>
      <c r="B5" s="13" t="b">
        <f>LEN(NumDoc)=0</f>
        <v>0</v>
      </c>
      <c r="C5" s="14"/>
      <c r="D5" s="14"/>
      <c r="E5" s="23" t="s">
        <v>8</v>
      </c>
      <c r="F5" s="36">
        <f>LARGE(Реестр!B:B,1)+1</f>
        <v>7</v>
      </c>
      <c r="G5" s="12"/>
      <c r="H5" s="12">
        <f>LARGE(Реестр!H:H,1)+1</f>
        <v>14</v>
      </c>
      <c r="I5" s="12"/>
      <c r="J5" s="12"/>
      <c r="K5" s="12"/>
      <c r="M5" s="89" t="s">
        <v>60</v>
      </c>
    </row>
    <row r="6" spans="1:13" s="10" customFormat="1" ht="19.5" thickBot="1" x14ac:dyDescent="0.3">
      <c r="A6" s="12"/>
      <c r="B6" s="13" t="b">
        <f>LEN(Decymal)=0</f>
        <v>1</v>
      </c>
      <c r="C6" s="14"/>
      <c r="D6" s="14"/>
      <c r="E6" s="23" t="s">
        <v>115</v>
      </c>
      <c r="F6" s="104"/>
      <c r="G6" s="101"/>
      <c r="H6" s="12"/>
      <c r="I6" s="12"/>
      <c r="J6" s="12"/>
      <c r="K6" s="12"/>
      <c r="M6" s="96" t="s">
        <v>141</v>
      </c>
    </row>
    <row r="7" spans="1:13" s="10" customFormat="1" ht="19.5" thickBot="1" x14ac:dyDescent="0.3">
      <c r="A7" s="12"/>
      <c r="B7" s="13" t="b">
        <f>LEN(NumMc)=0</f>
        <v>1</v>
      </c>
      <c r="C7" s="14"/>
      <c r="D7" s="14"/>
      <c r="E7" s="23" t="s">
        <v>1</v>
      </c>
      <c r="F7" s="105"/>
      <c r="G7" s="12"/>
      <c r="H7" s="12"/>
      <c r="I7" s="12"/>
      <c r="J7" s="12"/>
      <c r="K7" s="12"/>
      <c r="M7" s="10" t="s">
        <v>142</v>
      </c>
    </row>
    <row r="8" spans="1:13" s="10" customFormat="1" ht="46.5" customHeight="1" thickBot="1" x14ac:dyDescent="0.3">
      <c r="A8" s="12"/>
      <c r="B8" s="13" t="b">
        <f>LEN(OpDef)=0</f>
        <v>1</v>
      </c>
      <c r="C8" s="14"/>
      <c r="D8" s="14"/>
      <c r="E8" s="23" t="s">
        <v>3</v>
      </c>
      <c r="F8" s="89"/>
      <c r="G8" s="12"/>
      <c r="H8" s="12"/>
      <c r="I8" s="12"/>
      <c r="J8" s="12"/>
      <c r="K8" s="12"/>
    </row>
    <row r="9" spans="1:13" s="10" customFormat="1" ht="38.25" thickBot="1" x14ac:dyDescent="0.3">
      <c r="A9" s="12"/>
      <c r="B9" s="13" t="b">
        <f>LEN(ColKvr)=0</f>
        <v>1</v>
      </c>
      <c r="C9" s="14"/>
      <c r="D9" s="14"/>
      <c r="E9" s="23" t="s">
        <v>16</v>
      </c>
      <c r="F9" s="102"/>
      <c r="G9" s="12"/>
      <c r="H9" s="12"/>
      <c r="I9" s="12"/>
      <c r="J9" s="12"/>
      <c r="K9" s="12"/>
    </row>
    <row r="10" spans="1:13" s="10" customFormat="1" ht="21" customHeight="1" thickBot="1" x14ac:dyDescent="0.3">
      <c r="A10" s="12"/>
      <c r="B10" s="13" t="b">
        <f>IF(TypeDoc="Акт о браке",IF(LEN(FIO)=0,TRUE,IF(OR(FIO="П.А. Белкин",FIO="А.С. Бугаев",FIO="А.В. Гаврилов"),FALSE,TRUE)),IF(LEN(FIO)=0,TRUE,FALSE))</f>
        <v>1</v>
      </c>
      <c r="C10" s="14"/>
      <c r="D10" s="14"/>
      <c r="E10" s="24" t="s">
        <v>38</v>
      </c>
      <c r="F10" s="103"/>
      <c r="G10" s="12"/>
      <c r="H10" s="12"/>
      <c r="I10" s="12"/>
      <c r="J10" s="12"/>
      <c r="K10" s="12"/>
    </row>
    <row r="11" spans="1:13" s="10" customFormat="1" ht="38.25" hidden="1" thickBot="1" x14ac:dyDescent="0.3">
      <c r="A11" s="12"/>
      <c r="B11" s="13" t="b">
        <f>IF(TypeDoc="КВР",FALSE,LEN(ColAct)=0)</f>
        <v>0</v>
      </c>
      <c r="C11" s="14"/>
      <c r="D11" s="14"/>
      <c r="E11" s="24" t="s">
        <v>17</v>
      </c>
      <c r="F11" s="88"/>
      <c r="G11" s="12"/>
      <c r="H11" s="12"/>
      <c r="I11" s="12"/>
      <c r="J11" s="12"/>
      <c r="K11" s="12"/>
    </row>
    <row r="12" spans="1:13" s="10" customFormat="1" ht="19.5" hidden="1" thickBot="1" x14ac:dyDescent="0.3">
      <c r="A12" s="12"/>
      <c r="B12" s="13" t="b">
        <f>IF(TypeDoc="КВР",FALSE,LEN(PrichBrak)=0)</f>
        <v>0</v>
      </c>
      <c r="C12" s="14"/>
      <c r="D12" s="14"/>
      <c r="E12" s="24" t="s">
        <v>7</v>
      </c>
      <c r="F12" s="64"/>
      <c r="G12" s="12"/>
      <c r="H12" s="12"/>
      <c r="I12" s="12"/>
      <c r="J12" s="12"/>
      <c r="K12" s="12"/>
    </row>
    <row r="13" spans="1:13" s="12" customFormat="1" ht="19.5" hidden="1" thickBot="1" x14ac:dyDescent="0.3">
      <c r="B13" s="13" t="b">
        <f>IF(TypeDoc="КВР",FALSE,LEN(CatBrak)=0)</f>
        <v>0</v>
      </c>
      <c r="C13" s="14"/>
      <c r="D13" s="14"/>
      <c r="E13" s="24" t="s">
        <v>19</v>
      </c>
      <c r="F13" s="65"/>
    </row>
    <row r="14" spans="1:13" s="12" customFormat="1" ht="19.5" hidden="1" thickBot="1" x14ac:dyDescent="0.3">
      <c r="B14" s="13" t="b">
        <f>IF(TypeDoc="КВР",FALSE,LEN(IspBrak)=0)</f>
        <v>0</v>
      </c>
      <c r="C14" s="14"/>
      <c r="D14" s="14"/>
      <c r="E14" s="24" t="s">
        <v>26</v>
      </c>
      <c r="F14" s="66"/>
    </row>
    <row r="15" spans="1:13" x14ac:dyDescent="0.25">
      <c r="B15" s="15" t="b">
        <f>OR(B6:B14)</f>
        <v>1</v>
      </c>
      <c r="E15" s="12"/>
      <c r="F15" s="12"/>
    </row>
    <row r="16" spans="1:13" x14ac:dyDescent="0.25">
      <c r="E16" s="12"/>
      <c r="F16" s="12"/>
    </row>
    <row r="17" spans="5:6" x14ac:dyDescent="0.25">
      <c r="E17" s="16"/>
      <c r="F17" s="16"/>
    </row>
  </sheetData>
  <sheetProtection sheet="1" objects="1" scenarios="1"/>
  <conditionalFormatting sqref="F9:F14 F3:F7">
    <cfRule type="containsBlanks" dxfId="47" priority="5">
      <formula>LEN(TRIM(F3))=0</formula>
    </cfRule>
  </conditionalFormatting>
  <conditionalFormatting sqref="F11:F14">
    <cfRule type="expression" dxfId="46" priority="3">
      <formula>$F$3="КВР"</formula>
    </cfRule>
  </conditionalFormatting>
  <conditionalFormatting sqref="F10">
    <cfRule type="expression" dxfId="45" priority="1">
      <formula>IF(TypeDoc="Акт о браке",IF(LEN(FIO)=0,TRUE,IF(OR(FIO="П.А. Белкин",FIO="А.С. Бугаев",FIO="А.В. Гаврилов"),FALSE,TRUE)),IF(LEN(FIO)=0,TRUE,FALSE))</formula>
    </cfRule>
  </conditionalFormatting>
  <dataValidations count="6">
    <dataValidation type="list" allowBlank="1" showInputMessage="1" showErrorMessage="1" sqref="F3">
      <formula1>"КВР"</formula1>
    </dataValidation>
    <dataValidation operator="greaterThanOrEqual" allowBlank="1" showInputMessage="1" showErrorMessage="1" errorTitle="Неверные данные" error="Номер маршрутной карты должен состоять только из цифр" promptTitle="Только цифры" sqref="F7"/>
    <dataValidation type="whole" operator="greaterThanOrEqual" allowBlank="1" showInputMessage="1" showErrorMessage="1" errorTitle="Неверные данные" error="Строка должна состоять только из цифр" sqref="F9 F11">
      <formula1>0</formula1>
    </dataValidation>
    <dataValidation type="list" allowBlank="1" showInputMessage="1" showErrorMessage="1" sqref="F10">
      <formula1>SpKontr</formula1>
    </dataValidation>
    <dataValidation operator="equal" allowBlank="1" showInputMessage="1" showErrorMessage="1" sqref="C10:D10"/>
    <dataValidation type="list" allowBlank="1" showInputMessage="1" showErrorMessage="1" sqref="F13">
      <formula1>"Дефект термообработки, Ошибка технологии, Повреждение при сборке, Сбой оборудования, Скрытый дефект материала, Человеческий фактор"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C00000"/>
    <pageSetUpPr fitToPage="1"/>
  </sheetPr>
  <dimension ref="A1:U482"/>
  <sheetViews>
    <sheetView tabSelected="1" zoomScale="70" zoomScaleNormal="70" workbookViewId="0">
      <pane ySplit="1" topLeftCell="A2" activePane="bottomLeft" state="frozen"/>
      <selection pane="bottomLeft" activeCell="A10" sqref="A10"/>
    </sheetView>
  </sheetViews>
  <sheetFormatPr defaultRowHeight="15" outlineLevelCol="1" x14ac:dyDescent="0.25"/>
  <cols>
    <col min="1" max="1" width="12.140625" style="79" customWidth="1"/>
    <col min="2" max="2" width="11.85546875" style="63" customWidth="1"/>
    <col min="3" max="3" width="48.7109375" style="21" customWidth="1"/>
    <col min="4" max="4" width="12.5703125" style="22" customWidth="1"/>
    <col min="5" max="5" width="11.85546875" style="21" customWidth="1"/>
    <col min="6" max="6" width="64.42578125" style="21" customWidth="1"/>
    <col min="7" max="7" width="19.85546875" style="21" customWidth="1"/>
    <col min="8" max="8" width="10.42578125" style="62" customWidth="1" outlineLevel="1"/>
    <col min="9" max="9" width="18.140625" style="73" customWidth="1" outlineLevel="1"/>
    <col min="10" max="10" width="10.5703125" style="21" customWidth="1" outlineLevel="1"/>
    <col min="11" max="11" width="67.85546875" style="49" customWidth="1" outlineLevel="1"/>
    <col min="12" max="12" width="28.7109375" style="49" customWidth="1" outlineLevel="1"/>
    <col min="13" max="13" width="21.42578125" style="21" customWidth="1" outlineLevel="1"/>
    <col min="14" max="14" width="37" style="43" customWidth="1" outlineLevel="1"/>
    <col min="15" max="15" width="35.7109375" style="43" customWidth="1" outlineLevel="1"/>
    <col min="16" max="16" width="10.7109375" style="21" customWidth="1" outlineLevel="1" collapsed="1"/>
    <col min="17" max="17" width="26.7109375" style="21" customWidth="1" outlineLevel="1"/>
    <col min="18" max="18" width="11.28515625" style="21" customWidth="1" outlineLevel="1"/>
    <col min="19" max="19" width="27.5703125" style="21" customWidth="1" outlineLevel="1"/>
    <col min="20" max="20" width="19.140625" style="1" customWidth="1"/>
    <col min="21" max="21" width="15.140625" style="1" customWidth="1"/>
    <col min="22" max="16384" width="9.140625" style="1"/>
  </cols>
  <sheetData>
    <row r="1" spans="1:21" s="3" customFormat="1" ht="94.5" customHeight="1" x14ac:dyDescent="0.25">
      <c r="A1" s="69" t="s">
        <v>9</v>
      </c>
      <c r="B1" s="45" t="s">
        <v>2</v>
      </c>
      <c r="C1" s="19" t="s">
        <v>0</v>
      </c>
      <c r="D1" s="19" t="s">
        <v>35</v>
      </c>
      <c r="E1" s="19" t="s">
        <v>30</v>
      </c>
      <c r="F1" s="19" t="s">
        <v>3</v>
      </c>
      <c r="G1" s="19" t="s">
        <v>38</v>
      </c>
      <c r="H1" s="46" t="s">
        <v>52</v>
      </c>
      <c r="I1" s="69" t="s">
        <v>53</v>
      </c>
      <c r="J1" s="19" t="s">
        <v>15</v>
      </c>
      <c r="K1" s="19" t="s">
        <v>54</v>
      </c>
      <c r="L1" s="19" t="s">
        <v>55</v>
      </c>
      <c r="M1" s="19" t="s">
        <v>56</v>
      </c>
      <c r="N1" s="20" t="s">
        <v>20</v>
      </c>
      <c r="O1" s="20" t="s">
        <v>57</v>
      </c>
      <c r="P1" s="47" t="s">
        <v>34</v>
      </c>
      <c r="Q1" s="47" t="s">
        <v>33</v>
      </c>
      <c r="R1" s="47" t="s">
        <v>36</v>
      </c>
      <c r="S1" s="47" t="s">
        <v>37</v>
      </c>
      <c r="T1" s="68" t="s">
        <v>49</v>
      </c>
      <c r="U1" s="68" t="s">
        <v>50</v>
      </c>
    </row>
    <row r="2" spans="1:21" ht="15.75" x14ac:dyDescent="0.25">
      <c r="A2" s="98">
        <v>43839</v>
      </c>
      <c r="B2" s="97" t="s">
        <v>29</v>
      </c>
      <c r="C2" s="44" t="s">
        <v>63</v>
      </c>
      <c r="D2" s="44">
        <v>10316</v>
      </c>
      <c r="E2" s="44">
        <v>4</v>
      </c>
      <c r="F2" s="2" t="s">
        <v>65</v>
      </c>
      <c r="G2" s="2" t="s">
        <v>21</v>
      </c>
      <c r="H2" s="37">
        <v>1</v>
      </c>
      <c r="I2" s="95">
        <v>43839</v>
      </c>
      <c r="J2" s="90">
        <v>4</v>
      </c>
      <c r="K2" s="42" t="s">
        <v>66</v>
      </c>
      <c r="L2" s="49" t="s">
        <v>31</v>
      </c>
      <c r="M2" s="21" t="s">
        <v>21</v>
      </c>
      <c r="N2" s="91" t="s">
        <v>67</v>
      </c>
      <c r="O2" s="91" t="s">
        <v>59</v>
      </c>
      <c r="P2" s="21" t="s">
        <v>29</v>
      </c>
      <c r="Q2" s="21" t="s">
        <v>29</v>
      </c>
      <c r="R2" s="21" t="s">
        <v>29</v>
      </c>
      <c r="S2" s="67" t="s">
        <v>29</v>
      </c>
      <c r="T2" s="21" t="s">
        <v>68</v>
      </c>
      <c r="U2" s="21" t="s">
        <v>61</v>
      </c>
    </row>
    <row r="3" spans="1:21" ht="15.75" x14ac:dyDescent="0.25">
      <c r="A3" s="98">
        <v>43839</v>
      </c>
      <c r="B3" s="97" t="s">
        <v>29</v>
      </c>
      <c r="C3" s="44" t="s">
        <v>69</v>
      </c>
      <c r="D3" s="44">
        <v>10187</v>
      </c>
      <c r="E3" s="44">
        <v>1</v>
      </c>
      <c r="F3" s="2" t="s">
        <v>70</v>
      </c>
      <c r="G3" s="2" t="s">
        <v>21</v>
      </c>
      <c r="H3" s="37">
        <v>2</v>
      </c>
      <c r="I3" s="95">
        <v>43839</v>
      </c>
      <c r="J3" s="90">
        <v>1</v>
      </c>
      <c r="K3" s="42" t="s">
        <v>71</v>
      </c>
      <c r="L3" s="49" t="s">
        <v>31</v>
      </c>
      <c r="M3" s="21" t="s">
        <v>21</v>
      </c>
      <c r="N3" s="91" t="s">
        <v>72</v>
      </c>
      <c r="O3" s="91" t="s">
        <v>59</v>
      </c>
      <c r="P3" s="21" t="s">
        <v>29</v>
      </c>
      <c r="Q3" s="21" t="s">
        <v>29</v>
      </c>
      <c r="R3" s="21" t="s">
        <v>29</v>
      </c>
      <c r="S3" s="67" t="s">
        <v>29</v>
      </c>
      <c r="T3" s="21" t="s">
        <v>73</v>
      </c>
      <c r="U3" s="21" t="s">
        <v>74</v>
      </c>
    </row>
    <row r="4" spans="1:21" ht="15.75" x14ac:dyDescent="0.25">
      <c r="A4" s="98">
        <v>43839</v>
      </c>
      <c r="B4" s="97" t="s">
        <v>29</v>
      </c>
      <c r="C4" s="44" t="s">
        <v>75</v>
      </c>
      <c r="D4" s="44">
        <v>9804</v>
      </c>
      <c r="E4" s="44">
        <v>1</v>
      </c>
      <c r="F4" s="2" t="s">
        <v>76</v>
      </c>
      <c r="G4" s="2" t="s">
        <v>21</v>
      </c>
      <c r="H4" s="37">
        <v>3</v>
      </c>
      <c r="I4" s="95">
        <v>43839</v>
      </c>
      <c r="J4" s="90">
        <v>1</v>
      </c>
      <c r="K4" s="42" t="s">
        <v>77</v>
      </c>
      <c r="L4" s="49" t="s">
        <v>31</v>
      </c>
      <c r="M4" s="21" t="s">
        <v>21</v>
      </c>
      <c r="N4" s="91" t="s">
        <v>78</v>
      </c>
      <c r="O4" s="91" t="s">
        <v>59</v>
      </c>
      <c r="P4" s="21" t="s">
        <v>29</v>
      </c>
      <c r="Q4" s="21" t="s">
        <v>29</v>
      </c>
      <c r="R4" s="21" t="s">
        <v>29</v>
      </c>
      <c r="S4" s="67" t="s">
        <v>29</v>
      </c>
      <c r="T4" s="21" t="s">
        <v>79</v>
      </c>
      <c r="U4" s="21">
        <v>112</v>
      </c>
    </row>
    <row r="5" spans="1:21" ht="47.25" x14ac:dyDescent="0.25">
      <c r="A5" s="98">
        <v>43839</v>
      </c>
      <c r="B5" s="99">
        <v>1</v>
      </c>
      <c r="C5" s="44" t="s">
        <v>80</v>
      </c>
      <c r="D5" s="44">
        <v>9747</v>
      </c>
      <c r="E5" s="44">
        <v>1</v>
      </c>
      <c r="F5" s="2" t="s">
        <v>81</v>
      </c>
      <c r="G5" s="2" t="s">
        <v>51</v>
      </c>
      <c r="H5" s="37"/>
      <c r="I5" s="95"/>
      <c r="J5" s="90"/>
      <c r="K5" s="42"/>
      <c r="N5" s="91"/>
      <c r="O5" s="91"/>
      <c r="S5" s="67"/>
      <c r="T5" s="21"/>
      <c r="U5" s="21"/>
    </row>
    <row r="6" spans="1:21" ht="31.5" x14ac:dyDescent="0.25">
      <c r="A6" s="98">
        <v>43839</v>
      </c>
      <c r="B6" s="99">
        <v>2</v>
      </c>
      <c r="C6" s="44" t="s">
        <v>83</v>
      </c>
      <c r="D6" s="44">
        <v>9887</v>
      </c>
      <c r="E6" s="44">
        <v>1</v>
      </c>
      <c r="F6" s="2" t="s">
        <v>84</v>
      </c>
      <c r="G6" s="2" t="s">
        <v>32</v>
      </c>
      <c r="H6" s="37">
        <v>5</v>
      </c>
      <c r="I6" s="95">
        <v>43840</v>
      </c>
      <c r="J6" s="90">
        <v>1</v>
      </c>
      <c r="K6" s="42" t="s">
        <v>93</v>
      </c>
      <c r="L6" s="49" t="s">
        <v>31</v>
      </c>
      <c r="M6" s="21" t="s">
        <v>21</v>
      </c>
      <c r="N6" s="91" t="s">
        <v>94</v>
      </c>
      <c r="O6" s="91" t="s">
        <v>59</v>
      </c>
      <c r="P6" s="21" t="s">
        <v>29</v>
      </c>
      <c r="Q6" s="21" t="s">
        <v>29</v>
      </c>
      <c r="R6" s="21" t="s">
        <v>29</v>
      </c>
      <c r="S6" s="67" t="s">
        <v>29</v>
      </c>
      <c r="T6" s="21" t="s">
        <v>95</v>
      </c>
      <c r="U6" s="21">
        <v>109</v>
      </c>
    </row>
    <row r="7" spans="1:21" ht="31.5" x14ac:dyDescent="0.25">
      <c r="A7" s="98">
        <v>43839</v>
      </c>
      <c r="B7" s="99">
        <v>3</v>
      </c>
      <c r="C7" s="44" t="s">
        <v>82</v>
      </c>
      <c r="D7" s="44">
        <v>10248</v>
      </c>
      <c r="E7" s="44">
        <v>10</v>
      </c>
      <c r="F7" s="2" t="s">
        <v>114</v>
      </c>
      <c r="G7" s="2" t="s">
        <v>51</v>
      </c>
      <c r="H7" s="37">
        <v>13</v>
      </c>
      <c r="I7" s="95">
        <v>43845</v>
      </c>
      <c r="J7" s="90">
        <v>5</v>
      </c>
      <c r="K7" s="42" t="s">
        <v>111</v>
      </c>
      <c r="L7" s="49" t="s">
        <v>31</v>
      </c>
      <c r="M7" s="21" t="s">
        <v>106</v>
      </c>
      <c r="N7" s="91" t="s">
        <v>112</v>
      </c>
      <c r="O7" s="91" t="s">
        <v>59</v>
      </c>
      <c r="P7" s="21" t="s">
        <v>29</v>
      </c>
      <c r="Q7" s="21" t="s">
        <v>29</v>
      </c>
      <c r="R7" s="21" t="s">
        <v>29</v>
      </c>
      <c r="S7" s="67" t="s">
        <v>29</v>
      </c>
      <c r="T7" s="21" t="s">
        <v>90</v>
      </c>
      <c r="U7" s="21" t="s">
        <v>113</v>
      </c>
    </row>
    <row r="8" spans="1:21" ht="15.75" x14ac:dyDescent="0.25">
      <c r="A8" s="98">
        <v>43839</v>
      </c>
      <c r="B8" s="99">
        <v>4</v>
      </c>
      <c r="C8" s="44" t="s">
        <v>85</v>
      </c>
      <c r="D8" s="44">
        <v>9447</v>
      </c>
      <c r="E8" s="44">
        <v>1</v>
      </c>
      <c r="F8" s="2" t="s">
        <v>86</v>
      </c>
      <c r="G8" s="2" t="s">
        <v>32</v>
      </c>
      <c r="H8" s="37">
        <v>7</v>
      </c>
      <c r="I8" s="95">
        <v>43840</v>
      </c>
      <c r="J8" s="90">
        <v>1</v>
      </c>
      <c r="K8" s="42" t="s">
        <v>101</v>
      </c>
      <c r="L8" s="49" t="s">
        <v>31</v>
      </c>
      <c r="M8" s="21" t="s">
        <v>21</v>
      </c>
      <c r="N8" s="91" t="s">
        <v>102</v>
      </c>
      <c r="O8" s="91" t="s">
        <v>59</v>
      </c>
      <c r="P8" s="21" t="s">
        <v>29</v>
      </c>
      <c r="Q8" s="21" t="s">
        <v>29</v>
      </c>
      <c r="R8" s="21" t="s">
        <v>29</v>
      </c>
      <c r="S8" s="67" t="s">
        <v>29</v>
      </c>
      <c r="T8" s="21" t="s">
        <v>103</v>
      </c>
      <c r="U8" s="21" t="s">
        <v>91</v>
      </c>
    </row>
    <row r="9" spans="1:21" ht="31.5" x14ac:dyDescent="0.25">
      <c r="A9" s="98">
        <v>43840</v>
      </c>
      <c r="B9" s="99" t="s">
        <v>29</v>
      </c>
      <c r="C9" s="44" t="s">
        <v>87</v>
      </c>
      <c r="D9" s="44">
        <v>10406</v>
      </c>
      <c r="E9" s="44">
        <v>1</v>
      </c>
      <c r="F9" s="2" t="s">
        <v>92</v>
      </c>
      <c r="G9" s="2" t="s">
        <v>21</v>
      </c>
      <c r="H9" s="37">
        <v>4</v>
      </c>
      <c r="I9" s="95">
        <v>43840</v>
      </c>
      <c r="J9" s="90">
        <v>1</v>
      </c>
      <c r="K9" s="42" t="s">
        <v>88</v>
      </c>
      <c r="L9" s="49" t="s">
        <v>31</v>
      </c>
      <c r="M9" s="21" t="s">
        <v>21</v>
      </c>
      <c r="N9" s="91" t="s">
        <v>89</v>
      </c>
      <c r="O9" s="91" t="s">
        <v>59</v>
      </c>
      <c r="P9" s="21" t="s">
        <v>29</v>
      </c>
      <c r="Q9" s="21" t="s">
        <v>29</v>
      </c>
      <c r="R9" s="21" t="s">
        <v>29</v>
      </c>
      <c r="S9" s="67" t="s">
        <v>29</v>
      </c>
      <c r="T9" s="21" t="s">
        <v>90</v>
      </c>
      <c r="U9" s="21" t="s">
        <v>91</v>
      </c>
    </row>
    <row r="10" spans="1:21" ht="31.5" x14ac:dyDescent="0.25">
      <c r="A10" s="98">
        <v>43840</v>
      </c>
      <c r="B10" s="99" t="s">
        <v>29</v>
      </c>
      <c r="C10" s="44" t="s">
        <v>96</v>
      </c>
      <c r="D10" s="44">
        <v>10230</v>
      </c>
      <c r="E10" s="44">
        <v>1</v>
      </c>
      <c r="F10" s="2" t="s">
        <v>100</v>
      </c>
      <c r="G10" s="2" t="s">
        <v>21</v>
      </c>
      <c r="H10" s="37">
        <v>6</v>
      </c>
      <c r="I10" s="95">
        <v>43840</v>
      </c>
      <c r="J10" s="90">
        <v>1</v>
      </c>
      <c r="K10" s="42" t="s">
        <v>97</v>
      </c>
      <c r="L10" s="49" t="s">
        <v>98</v>
      </c>
      <c r="M10" s="21" t="s">
        <v>21</v>
      </c>
      <c r="N10" s="91" t="s">
        <v>99</v>
      </c>
      <c r="O10" s="91" t="s">
        <v>59</v>
      </c>
      <c r="P10" s="21" t="s">
        <v>29</v>
      </c>
      <c r="Q10" s="21" t="s">
        <v>29</v>
      </c>
      <c r="R10" s="21" t="s">
        <v>29</v>
      </c>
      <c r="S10" s="67" t="s">
        <v>29</v>
      </c>
      <c r="T10" s="21" t="s">
        <v>29</v>
      </c>
      <c r="U10" s="21" t="s">
        <v>29</v>
      </c>
    </row>
    <row r="11" spans="1:21" ht="15.75" x14ac:dyDescent="0.25">
      <c r="A11" s="98">
        <v>43843</v>
      </c>
      <c r="B11" s="97">
        <v>5</v>
      </c>
      <c r="C11" s="44" t="s">
        <v>104</v>
      </c>
      <c r="D11" s="44">
        <v>10266</v>
      </c>
      <c r="E11" s="44">
        <v>0</v>
      </c>
      <c r="F11" s="2" t="s">
        <v>105</v>
      </c>
      <c r="G11" s="2" t="s">
        <v>21</v>
      </c>
      <c r="H11" s="37"/>
      <c r="I11" s="95"/>
      <c r="J11" s="90"/>
      <c r="K11" s="42"/>
      <c r="N11" s="91"/>
      <c r="O11" s="91"/>
      <c r="S11" s="67"/>
      <c r="T11" s="21"/>
      <c r="U11" s="21"/>
    </row>
    <row r="12" spans="1:21" ht="15.75" x14ac:dyDescent="0.25">
      <c r="A12" s="98">
        <v>43843</v>
      </c>
      <c r="B12" s="97">
        <v>6</v>
      </c>
      <c r="C12" s="44" t="s">
        <v>107</v>
      </c>
      <c r="D12" s="44">
        <v>9767</v>
      </c>
      <c r="E12" s="44">
        <v>0</v>
      </c>
      <c r="F12" s="2" t="s">
        <v>108</v>
      </c>
      <c r="G12" s="2" t="s">
        <v>21</v>
      </c>
      <c r="H12" s="37"/>
      <c r="I12" s="95"/>
      <c r="J12" s="90"/>
      <c r="K12" s="42"/>
      <c r="N12" s="91"/>
      <c r="O12" s="91"/>
      <c r="S12" s="67"/>
      <c r="T12" s="21"/>
      <c r="U12" s="21"/>
    </row>
    <row r="13" spans="1:21" ht="15.75" x14ac:dyDescent="0.25">
      <c r="A13" s="75"/>
      <c r="B13" s="31"/>
      <c r="C13" s="44"/>
      <c r="D13" s="44"/>
      <c r="E13" s="44"/>
      <c r="F13" s="2"/>
      <c r="G13" s="2"/>
      <c r="H13" s="37"/>
      <c r="I13" s="93"/>
      <c r="J13" s="2"/>
      <c r="K13" s="2"/>
    </row>
    <row r="14" spans="1:21" ht="15.75" x14ac:dyDescent="0.25">
      <c r="A14" s="75"/>
      <c r="B14" s="31"/>
      <c r="C14" s="44"/>
      <c r="D14" s="44"/>
      <c r="E14" s="44"/>
      <c r="F14" s="2"/>
      <c r="G14" s="2"/>
      <c r="H14" s="37"/>
      <c r="I14" s="92"/>
      <c r="J14" s="2"/>
      <c r="K14" s="2"/>
    </row>
    <row r="15" spans="1:21" ht="15.75" x14ac:dyDescent="0.25">
      <c r="A15" s="82"/>
      <c r="B15" s="83"/>
      <c r="C15" s="84"/>
      <c r="D15" s="84"/>
      <c r="E15" s="84"/>
      <c r="F15" s="85"/>
      <c r="G15" s="85"/>
      <c r="H15" s="80"/>
      <c r="I15" s="94"/>
      <c r="J15" s="2"/>
      <c r="K15" s="2"/>
    </row>
    <row r="16" spans="1:21" ht="15.75" x14ac:dyDescent="0.25">
      <c r="A16" s="75"/>
      <c r="B16" s="31"/>
      <c r="C16" s="44"/>
      <c r="D16" s="44"/>
      <c r="E16" s="44"/>
      <c r="F16" s="2"/>
      <c r="G16" s="2"/>
      <c r="H16" s="37"/>
      <c r="I16" s="92"/>
      <c r="J16" s="2"/>
      <c r="K16" s="2"/>
    </row>
    <row r="17" spans="1:11" ht="15.75" x14ac:dyDescent="0.25">
      <c r="A17" s="75"/>
      <c r="B17" s="31"/>
      <c r="C17" s="44"/>
      <c r="D17" s="44"/>
      <c r="E17" s="44"/>
      <c r="F17" s="2"/>
      <c r="G17" s="2"/>
      <c r="H17" s="37"/>
      <c r="I17" s="93"/>
      <c r="J17" s="2"/>
      <c r="K17" s="2"/>
    </row>
    <row r="18" spans="1:11" ht="15.75" x14ac:dyDescent="0.25">
      <c r="A18" s="75"/>
      <c r="B18" s="31"/>
      <c r="C18" s="44"/>
      <c r="D18" s="44"/>
      <c r="E18" s="44"/>
      <c r="F18" s="2"/>
      <c r="G18" s="2"/>
      <c r="H18" s="37"/>
      <c r="I18" s="93"/>
      <c r="J18" s="41"/>
      <c r="K18" s="41"/>
    </row>
    <row r="19" spans="1:11" ht="15.75" x14ac:dyDescent="0.25">
      <c r="A19" s="75"/>
      <c r="B19" s="31"/>
      <c r="C19" s="44"/>
      <c r="D19" s="44"/>
      <c r="E19" s="44"/>
      <c r="F19" s="2"/>
      <c r="G19" s="2"/>
      <c r="H19" s="37"/>
      <c r="I19" s="86"/>
      <c r="J19" s="2"/>
      <c r="K19" s="2"/>
    </row>
    <row r="20" spans="1:11" ht="15.75" x14ac:dyDescent="0.25">
      <c r="A20" s="82"/>
      <c r="B20" s="83"/>
      <c r="C20" s="84"/>
      <c r="D20" s="84"/>
      <c r="E20" s="84"/>
      <c r="F20" s="85"/>
      <c r="G20" s="85"/>
      <c r="H20" s="80"/>
      <c r="I20" s="87"/>
      <c r="J20" s="50"/>
      <c r="K20" s="42"/>
    </row>
    <row r="21" spans="1:11" ht="15.75" x14ac:dyDescent="0.25">
      <c r="A21" s="75"/>
      <c r="B21" s="31"/>
      <c r="C21" s="44"/>
      <c r="D21" s="44"/>
      <c r="E21" s="44"/>
      <c r="F21" s="2"/>
      <c r="G21" s="2"/>
      <c r="H21" s="37"/>
      <c r="I21" s="86"/>
      <c r="J21" s="2"/>
      <c r="K21" s="2"/>
    </row>
    <row r="22" spans="1:11" ht="15.75" x14ac:dyDescent="0.25">
      <c r="A22" s="75"/>
      <c r="B22" s="31"/>
      <c r="C22" s="44"/>
      <c r="D22" s="44"/>
      <c r="E22" s="44"/>
      <c r="F22" s="2"/>
      <c r="G22" s="2"/>
      <c r="H22" s="37"/>
      <c r="I22" s="33"/>
      <c r="J22" s="2"/>
      <c r="K22" s="2"/>
    </row>
    <row r="23" spans="1:11" ht="15.75" x14ac:dyDescent="0.25">
      <c r="A23" s="75"/>
      <c r="B23" s="31"/>
      <c r="C23" s="44"/>
      <c r="D23" s="44"/>
      <c r="E23" s="44"/>
      <c r="F23" s="2"/>
      <c r="G23" s="2"/>
      <c r="H23" s="37"/>
      <c r="I23" s="33"/>
      <c r="J23" s="2"/>
      <c r="K23" s="2"/>
    </row>
    <row r="24" spans="1:11" ht="15.75" x14ac:dyDescent="0.25">
      <c r="A24" s="75"/>
      <c r="B24" s="31"/>
      <c r="C24" s="44"/>
      <c r="D24" s="44"/>
      <c r="E24" s="44"/>
      <c r="F24" s="2"/>
      <c r="G24" s="2"/>
      <c r="H24" s="37"/>
      <c r="I24" s="86"/>
      <c r="J24" s="2"/>
      <c r="K24" s="2"/>
    </row>
    <row r="25" spans="1:11" ht="15.75" x14ac:dyDescent="0.25">
      <c r="A25" s="82"/>
      <c r="B25" s="83"/>
      <c r="C25" s="84"/>
      <c r="D25" s="84"/>
      <c r="E25" s="84"/>
      <c r="F25" s="85"/>
      <c r="G25" s="85" t="s">
        <v>143</v>
      </c>
      <c r="H25" s="80"/>
      <c r="I25" s="87"/>
      <c r="J25" s="2"/>
      <c r="K25" s="42"/>
    </row>
    <row r="26" spans="1:11" ht="15.75" x14ac:dyDescent="0.25">
      <c r="A26" s="33"/>
      <c r="B26" s="29"/>
      <c r="C26" s="25"/>
      <c r="D26" s="25"/>
      <c r="E26" s="44"/>
      <c r="F26" s="2"/>
      <c r="G26" s="2"/>
      <c r="H26" s="37"/>
      <c r="I26" s="33"/>
      <c r="J26" s="2"/>
      <c r="K26" s="51"/>
    </row>
    <row r="27" spans="1:11" ht="15.75" x14ac:dyDescent="0.25">
      <c r="A27" s="33"/>
      <c r="B27" s="29"/>
      <c r="C27" s="25"/>
      <c r="D27" s="25"/>
      <c r="E27" s="44"/>
      <c r="F27" s="2"/>
      <c r="G27" s="2"/>
      <c r="H27" s="37"/>
      <c r="I27" s="33"/>
      <c r="J27" s="2"/>
      <c r="K27" s="51"/>
    </row>
    <row r="28" spans="1:11" ht="15.75" x14ac:dyDescent="0.25">
      <c r="A28" s="76"/>
      <c r="B28" s="32"/>
      <c r="C28" s="44"/>
      <c r="D28" s="44"/>
      <c r="E28" s="44"/>
      <c r="F28" s="2"/>
      <c r="G28" s="2"/>
      <c r="H28" s="37"/>
      <c r="I28" s="33"/>
      <c r="J28" s="2"/>
      <c r="K28" s="42"/>
    </row>
    <row r="29" spans="1:11" ht="15.75" x14ac:dyDescent="0.25">
      <c r="A29" s="33"/>
      <c r="B29" s="29"/>
      <c r="C29" s="25"/>
      <c r="D29" s="25"/>
      <c r="E29" s="44"/>
      <c r="F29" s="2"/>
      <c r="G29" s="2"/>
      <c r="H29" s="37"/>
      <c r="I29" s="33"/>
      <c r="J29" s="2"/>
      <c r="K29" s="51"/>
    </row>
    <row r="30" spans="1:11" ht="15.75" x14ac:dyDescent="0.25">
      <c r="A30" s="33"/>
      <c r="B30" s="29"/>
      <c r="C30" s="25"/>
      <c r="D30" s="25"/>
      <c r="E30" s="44"/>
      <c r="F30" s="2"/>
      <c r="G30" s="2"/>
      <c r="H30" s="37"/>
      <c r="I30" s="33"/>
      <c r="J30" s="2"/>
      <c r="K30" s="51"/>
    </row>
    <row r="31" spans="1:11" ht="15.75" x14ac:dyDescent="0.25">
      <c r="A31" s="76"/>
      <c r="B31" s="32"/>
      <c r="C31" s="25"/>
      <c r="D31" s="25"/>
      <c r="E31" s="44"/>
      <c r="F31" s="2"/>
      <c r="G31" s="2"/>
      <c r="H31" s="37"/>
      <c r="I31" s="33"/>
      <c r="J31" s="2"/>
      <c r="K31" s="42"/>
    </row>
    <row r="32" spans="1:11" ht="15.75" x14ac:dyDescent="0.25">
      <c r="A32" s="33"/>
      <c r="B32" s="29"/>
      <c r="C32" s="44"/>
      <c r="D32" s="44"/>
      <c r="E32" s="44"/>
      <c r="F32" s="2"/>
      <c r="G32" s="2"/>
      <c r="H32" s="37"/>
      <c r="I32" s="33"/>
      <c r="J32" s="2"/>
      <c r="K32" s="42"/>
    </row>
    <row r="33" spans="1:11" ht="15.75" x14ac:dyDescent="0.25">
      <c r="A33" s="33"/>
      <c r="B33" s="29"/>
      <c r="C33" s="25"/>
      <c r="D33" s="25"/>
      <c r="E33" s="44"/>
      <c r="F33" s="2"/>
      <c r="G33" s="2"/>
      <c r="H33" s="37"/>
      <c r="I33" s="33"/>
      <c r="J33" s="2"/>
      <c r="K33" s="42"/>
    </row>
    <row r="34" spans="1:11" ht="18.75" x14ac:dyDescent="0.25">
      <c r="A34" s="77"/>
      <c r="B34" s="52"/>
      <c r="C34" s="41"/>
      <c r="D34" s="41"/>
      <c r="E34" s="41"/>
      <c r="F34" s="41"/>
      <c r="G34" s="41"/>
      <c r="H34" s="37"/>
      <c r="I34" s="33"/>
      <c r="J34" s="41"/>
      <c r="K34" s="41"/>
    </row>
    <row r="35" spans="1:11" ht="15.75" x14ac:dyDescent="0.25">
      <c r="A35" s="76"/>
      <c r="B35" s="32"/>
      <c r="C35" s="25"/>
      <c r="D35" s="25"/>
      <c r="E35" s="44"/>
      <c r="F35" s="2"/>
      <c r="G35" s="2"/>
      <c r="H35" s="37"/>
      <c r="I35" s="33"/>
      <c r="J35" s="2"/>
      <c r="K35" s="51"/>
    </row>
    <row r="36" spans="1:11" ht="15.75" x14ac:dyDescent="0.25">
      <c r="A36" s="33"/>
      <c r="B36" s="29"/>
      <c r="C36" s="44"/>
      <c r="D36" s="44"/>
      <c r="E36" s="44"/>
      <c r="F36" s="2"/>
      <c r="G36" s="2"/>
      <c r="H36" s="37"/>
      <c r="I36" s="33"/>
      <c r="J36" s="2"/>
      <c r="K36" s="51"/>
    </row>
    <row r="37" spans="1:11" ht="15.75" x14ac:dyDescent="0.25">
      <c r="A37" s="48"/>
      <c r="B37" s="31"/>
      <c r="C37" s="44"/>
      <c r="D37" s="44"/>
      <c r="E37" s="44"/>
      <c r="F37" s="2"/>
      <c r="G37" s="2"/>
      <c r="H37" s="37"/>
      <c r="I37" s="33"/>
      <c r="J37" s="2"/>
      <c r="K37" s="51"/>
    </row>
    <row r="38" spans="1:11" ht="15.75" x14ac:dyDescent="0.25">
      <c r="A38" s="48"/>
      <c r="B38" s="31"/>
      <c r="C38" s="44"/>
      <c r="D38" s="44"/>
      <c r="E38" s="44"/>
      <c r="F38" s="2"/>
      <c r="G38" s="2"/>
      <c r="H38" s="37"/>
      <c r="I38" s="33"/>
      <c r="J38" s="2"/>
      <c r="K38" s="51"/>
    </row>
    <row r="39" spans="1:11" ht="15.75" x14ac:dyDescent="0.25">
      <c r="A39" s="48"/>
      <c r="B39" s="31"/>
      <c r="C39" s="44"/>
      <c r="D39" s="44"/>
      <c r="E39" s="44"/>
      <c r="F39" s="2"/>
      <c r="G39" s="2"/>
      <c r="H39" s="37"/>
      <c r="I39" s="33"/>
      <c r="J39" s="2"/>
      <c r="K39" s="51"/>
    </row>
    <row r="40" spans="1:11" ht="15.75" x14ac:dyDescent="0.25">
      <c r="A40" s="48"/>
      <c r="B40" s="31"/>
      <c r="C40" s="44"/>
      <c r="D40" s="44"/>
      <c r="E40" s="44"/>
      <c r="F40" s="2"/>
      <c r="G40" s="2"/>
      <c r="H40" s="37"/>
      <c r="I40" s="33"/>
      <c r="J40" s="2"/>
      <c r="K40" s="51"/>
    </row>
    <row r="41" spans="1:11" ht="15.75" x14ac:dyDescent="0.25">
      <c r="A41" s="48"/>
      <c r="B41" s="31"/>
      <c r="C41" s="44"/>
      <c r="D41" s="44"/>
      <c r="E41" s="44"/>
      <c r="F41" s="2"/>
      <c r="G41" s="2"/>
      <c r="H41" s="37"/>
      <c r="I41" s="33"/>
      <c r="J41" s="2"/>
      <c r="K41" s="51"/>
    </row>
    <row r="42" spans="1:11" ht="15.75" x14ac:dyDescent="0.25">
      <c r="A42" s="48"/>
      <c r="B42" s="31"/>
      <c r="C42" s="44"/>
      <c r="D42" s="44"/>
      <c r="E42" s="44"/>
      <c r="F42" s="2"/>
      <c r="G42" s="2"/>
      <c r="H42" s="37"/>
      <c r="I42" s="33"/>
      <c r="J42" s="2"/>
      <c r="K42" s="51"/>
    </row>
    <row r="43" spans="1:11" ht="15.75" x14ac:dyDescent="0.25">
      <c r="A43" s="48"/>
      <c r="B43" s="31"/>
      <c r="C43" s="44"/>
      <c r="D43" s="44"/>
      <c r="E43" s="44"/>
      <c r="F43" s="2"/>
      <c r="G43" s="2"/>
      <c r="H43" s="37"/>
      <c r="I43" s="33"/>
      <c r="J43" s="2"/>
      <c r="K43" s="51"/>
    </row>
    <row r="44" spans="1:11" ht="15.75" x14ac:dyDescent="0.25">
      <c r="A44" s="48"/>
      <c r="B44" s="31"/>
      <c r="C44" s="44"/>
      <c r="D44" s="44"/>
      <c r="E44" s="44"/>
      <c r="F44" s="2"/>
      <c r="G44" s="2"/>
      <c r="H44" s="37"/>
      <c r="I44" s="33"/>
      <c r="J44" s="2"/>
      <c r="K44" s="51"/>
    </row>
    <row r="45" spans="1:11" ht="15.75" x14ac:dyDescent="0.25">
      <c r="A45" s="48"/>
      <c r="B45" s="31"/>
      <c r="C45" s="44"/>
      <c r="D45" s="44"/>
      <c r="E45" s="44"/>
      <c r="F45" s="2"/>
      <c r="G45" s="2"/>
      <c r="H45" s="37"/>
      <c r="I45" s="33"/>
      <c r="J45" s="2"/>
      <c r="K45" s="51"/>
    </row>
    <row r="46" spans="1:11" ht="15.75" x14ac:dyDescent="0.25">
      <c r="A46" s="48"/>
      <c r="B46" s="31"/>
      <c r="C46" s="44"/>
      <c r="D46" s="44"/>
      <c r="E46" s="44"/>
      <c r="F46" s="2"/>
      <c r="G46" s="2"/>
      <c r="H46" s="37"/>
      <c r="I46" s="33"/>
      <c r="J46" s="2"/>
      <c r="K46" s="51"/>
    </row>
    <row r="47" spans="1:11" ht="15.75" x14ac:dyDescent="0.25">
      <c r="A47" s="48"/>
      <c r="B47" s="31"/>
      <c r="C47" s="44"/>
      <c r="D47" s="44"/>
      <c r="E47" s="44"/>
      <c r="F47" s="2"/>
      <c r="G47" s="2"/>
      <c r="H47" s="37"/>
      <c r="I47" s="33"/>
      <c r="J47" s="2"/>
      <c r="K47" s="51"/>
    </row>
    <row r="48" spans="1:11" ht="15.75" x14ac:dyDescent="0.25">
      <c r="A48" s="48"/>
      <c r="B48" s="31"/>
      <c r="C48" s="44"/>
      <c r="D48" s="44"/>
      <c r="E48" s="44"/>
      <c r="F48" s="2"/>
      <c r="G48" s="2"/>
      <c r="H48" s="37"/>
      <c r="I48" s="33"/>
      <c r="J48" s="2"/>
      <c r="K48" s="51"/>
    </row>
    <row r="49" spans="1:11" ht="15.75" x14ac:dyDescent="0.25">
      <c r="A49" s="48"/>
      <c r="B49" s="31"/>
      <c r="C49" s="25"/>
      <c r="D49" s="25"/>
      <c r="E49" s="44"/>
      <c r="F49" s="2"/>
      <c r="G49" s="2"/>
      <c r="H49" s="37"/>
      <c r="I49" s="33"/>
      <c r="J49" s="2"/>
      <c r="K49" s="51"/>
    </row>
    <row r="50" spans="1:11" ht="15.75" x14ac:dyDescent="0.25">
      <c r="A50" s="48"/>
      <c r="B50" s="31"/>
      <c r="C50" s="44"/>
      <c r="D50" s="44"/>
      <c r="E50" s="44"/>
      <c r="F50" s="2"/>
      <c r="G50" s="2"/>
      <c r="H50" s="37"/>
      <c r="I50" s="33"/>
      <c r="J50" s="2"/>
      <c r="K50" s="51"/>
    </row>
    <row r="51" spans="1:11" ht="15.75" x14ac:dyDescent="0.25">
      <c r="A51" s="48"/>
      <c r="B51" s="31"/>
      <c r="C51" s="44"/>
      <c r="D51" s="44"/>
      <c r="E51" s="44"/>
      <c r="F51" s="2"/>
      <c r="G51" s="2"/>
      <c r="H51" s="37"/>
      <c r="I51" s="33"/>
      <c r="J51" s="2"/>
      <c r="K51" s="51"/>
    </row>
    <row r="52" spans="1:11" ht="15.75" x14ac:dyDescent="0.25">
      <c r="A52" s="48"/>
      <c r="B52" s="31"/>
      <c r="C52" s="25"/>
      <c r="D52" s="25"/>
      <c r="E52" s="44"/>
      <c r="F52" s="2"/>
      <c r="G52" s="2"/>
      <c r="H52" s="37"/>
      <c r="I52" s="33"/>
      <c r="J52" s="2"/>
      <c r="K52" s="51"/>
    </row>
    <row r="53" spans="1:11" ht="15.75" x14ac:dyDescent="0.25">
      <c r="A53" s="48"/>
      <c r="B53" s="31"/>
      <c r="C53" s="25"/>
      <c r="D53" s="25"/>
      <c r="E53" s="44"/>
      <c r="F53" s="2"/>
      <c r="G53" s="2"/>
      <c r="H53" s="37"/>
      <c r="I53" s="33"/>
      <c r="J53" s="2"/>
      <c r="K53" s="51"/>
    </row>
    <row r="54" spans="1:11" ht="15.75" x14ac:dyDescent="0.25">
      <c r="A54" s="48"/>
      <c r="B54" s="31"/>
      <c r="C54" s="25"/>
      <c r="D54" s="25"/>
      <c r="E54" s="44"/>
      <c r="F54" s="2"/>
      <c r="G54" s="2"/>
      <c r="H54" s="37"/>
      <c r="I54" s="33"/>
      <c r="J54" s="2"/>
      <c r="K54" s="51"/>
    </row>
    <row r="55" spans="1:11" ht="15.75" x14ac:dyDescent="0.25">
      <c r="A55" s="48"/>
      <c r="B55" s="31"/>
      <c r="C55" s="25"/>
      <c r="D55" s="25"/>
      <c r="E55" s="44"/>
      <c r="F55" s="2"/>
      <c r="G55" s="2"/>
      <c r="H55" s="37"/>
      <c r="I55" s="33"/>
      <c r="J55" s="2"/>
      <c r="K55" s="51"/>
    </row>
    <row r="56" spans="1:11" ht="15.75" x14ac:dyDescent="0.25">
      <c r="A56" s="48"/>
      <c r="B56" s="31"/>
      <c r="C56" s="44"/>
      <c r="D56" s="44"/>
      <c r="E56" s="44"/>
      <c r="F56" s="2"/>
      <c r="G56" s="2"/>
      <c r="H56" s="37"/>
      <c r="I56" s="33"/>
      <c r="J56" s="2"/>
      <c r="K56" s="51"/>
    </row>
    <row r="57" spans="1:11" ht="15.75" x14ac:dyDescent="0.25">
      <c r="A57" s="48"/>
      <c r="B57" s="31"/>
      <c r="C57" s="25"/>
      <c r="D57" s="25"/>
      <c r="E57" s="44"/>
      <c r="F57" s="2"/>
      <c r="G57" s="2"/>
      <c r="H57" s="37"/>
      <c r="I57" s="33"/>
      <c r="J57" s="2"/>
      <c r="K57" s="42"/>
    </row>
    <row r="58" spans="1:11" ht="15.75" x14ac:dyDescent="0.25">
      <c r="A58" s="48"/>
      <c r="B58" s="31"/>
      <c r="C58" s="25"/>
      <c r="D58" s="25"/>
      <c r="E58" s="44"/>
      <c r="F58" s="2"/>
      <c r="G58" s="2"/>
      <c r="H58" s="37"/>
      <c r="I58" s="33"/>
      <c r="J58" s="2"/>
      <c r="K58" s="42"/>
    </row>
    <row r="59" spans="1:11" x14ac:dyDescent="0.25">
      <c r="A59" s="70"/>
      <c r="B59" s="53"/>
      <c r="C59" s="53"/>
      <c r="D59" s="53"/>
      <c r="E59" s="53"/>
      <c r="F59" s="53"/>
      <c r="G59" s="53"/>
      <c r="H59" s="54"/>
      <c r="I59" s="70"/>
      <c r="J59" s="53"/>
      <c r="K59" s="53"/>
    </row>
    <row r="60" spans="1:11" ht="15.75" x14ac:dyDescent="0.25">
      <c r="A60" s="48"/>
      <c r="B60" s="31"/>
      <c r="C60" s="44"/>
      <c r="D60" s="44"/>
      <c r="E60" s="44"/>
      <c r="F60" s="2"/>
      <c r="G60" s="2"/>
      <c r="H60" s="37"/>
      <c r="I60" s="33"/>
      <c r="J60" s="2"/>
      <c r="K60" s="51"/>
    </row>
    <row r="61" spans="1:11" ht="15.75" x14ac:dyDescent="0.25">
      <c r="A61" s="48"/>
      <c r="B61" s="31"/>
      <c r="C61" s="25"/>
      <c r="D61" s="25"/>
      <c r="E61" s="44"/>
      <c r="F61" s="2"/>
      <c r="G61" s="2"/>
      <c r="H61" s="37"/>
      <c r="I61" s="33"/>
      <c r="J61" s="2"/>
      <c r="K61" s="42"/>
    </row>
    <row r="62" spans="1:11" ht="15.75" x14ac:dyDescent="0.25">
      <c r="A62" s="48"/>
      <c r="B62" s="31"/>
      <c r="C62" s="25"/>
      <c r="D62" s="25"/>
      <c r="E62" s="44"/>
      <c r="F62" s="2"/>
      <c r="G62" s="2"/>
      <c r="H62" s="37"/>
      <c r="I62" s="33"/>
      <c r="J62" s="2"/>
      <c r="K62" s="42"/>
    </row>
    <row r="63" spans="1:11" ht="15.75" x14ac:dyDescent="0.25">
      <c r="A63" s="48"/>
      <c r="B63" s="31"/>
      <c r="C63" s="44"/>
      <c r="D63" s="44"/>
      <c r="E63" s="44"/>
      <c r="F63" s="2"/>
      <c r="G63" s="2"/>
      <c r="H63" s="37"/>
      <c r="I63" s="33"/>
      <c r="J63" s="2"/>
      <c r="K63" s="51"/>
    </row>
    <row r="64" spans="1:11" ht="15.75" x14ac:dyDescent="0.25">
      <c r="A64" s="48"/>
      <c r="B64" s="31"/>
      <c r="C64" s="44"/>
      <c r="D64" s="44"/>
      <c r="E64" s="44"/>
      <c r="F64" s="2"/>
      <c r="G64" s="2"/>
      <c r="H64" s="37"/>
      <c r="I64" s="33"/>
      <c r="J64" s="2"/>
      <c r="K64" s="51"/>
    </row>
    <row r="65" spans="1:11" ht="15.75" x14ac:dyDescent="0.25">
      <c r="A65" s="48"/>
      <c r="B65" s="31"/>
      <c r="C65" s="44"/>
      <c r="D65" s="44"/>
      <c r="E65" s="44"/>
      <c r="F65" s="2"/>
      <c r="G65" s="2"/>
      <c r="H65" s="37"/>
      <c r="I65" s="33"/>
      <c r="J65" s="2"/>
      <c r="K65" s="51"/>
    </row>
    <row r="66" spans="1:11" ht="15.75" x14ac:dyDescent="0.25">
      <c r="A66" s="48"/>
      <c r="B66" s="31"/>
      <c r="C66" s="25"/>
      <c r="D66" s="25"/>
      <c r="E66" s="44"/>
      <c r="F66" s="2"/>
      <c r="G66" s="2"/>
      <c r="H66" s="37"/>
      <c r="I66" s="33"/>
      <c r="J66" s="2"/>
      <c r="K66" s="42"/>
    </row>
    <row r="67" spans="1:11" ht="15.75" x14ac:dyDescent="0.25">
      <c r="A67" s="48"/>
      <c r="B67" s="31"/>
      <c r="C67" s="44"/>
      <c r="D67" s="44"/>
      <c r="E67" s="44"/>
      <c r="F67" s="2"/>
      <c r="G67" s="2"/>
      <c r="H67" s="37"/>
      <c r="I67" s="33"/>
      <c r="J67" s="2"/>
      <c r="K67" s="42"/>
    </row>
    <row r="68" spans="1:11" ht="15.75" x14ac:dyDescent="0.25">
      <c r="A68" s="48"/>
      <c r="B68" s="31"/>
      <c r="C68" s="44"/>
      <c r="D68" s="44"/>
      <c r="E68" s="44"/>
      <c r="F68" s="2"/>
      <c r="G68" s="2"/>
      <c r="H68" s="37"/>
      <c r="I68" s="33"/>
      <c r="J68" s="2"/>
      <c r="K68" s="42"/>
    </row>
    <row r="69" spans="1:11" ht="15.75" x14ac:dyDescent="0.25">
      <c r="A69" s="48"/>
      <c r="B69" s="31"/>
      <c r="C69" s="25"/>
      <c r="D69" s="25"/>
      <c r="E69" s="44"/>
      <c r="F69" s="2"/>
      <c r="G69" s="2"/>
      <c r="H69" s="37"/>
      <c r="I69" s="33"/>
      <c r="J69" s="2"/>
      <c r="K69" s="42"/>
    </row>
    <row r="70" spans="1:11" ht="15.75" x14ac:dyDescent="0.25">
      <c r="A70" s="48"/>
      <c r="B70" s="31"/>
      <c r="C70" s="25"/>
      <c r="D70" s="25"/>
      <c r="E70" s="44"/>
      <c r="F70" s="2"/>
      <c r="G70" s="2"/>
      <c r="H70" s="37"/>
      <c r="I70" s="33"/>
      <c r="J70" s="2"/>
      <c r="K70" s="42"/>
    </row>
    <row r="71" spans="1:11" ht="15.75" x14ac:dyDescent="0.25">
      <c r="A71" s="48"/>
      <c r="B71" s="31"/>
      <c r="C71" s="25"/>
      <c r="D71" s="25"/>
      <c r="E71" s="44"/>
      <c r="F71" s="2"/>
      <c r="G71" s="2"/>
      <c r="H71" s="37"/>
      <c r="I71" s="33"/>
      <c r="J71" s="2"/>
      <c r="K71" s="42"/>
    </row>
    <row r="72" spans="1:11" x14ac:dyDescent="0.25">
      <c r="A72" s="70"/>
      <c r="B72" s="53"/>
      <c r="C72" s="53"/>
      <c r="D72" s="53"/>
      <c r="E72" s="53"/>
      <c r="F72" s="53"/>
      <c r="G72" s="53"/>
      <c r="H72" s="54"/>
      <c r="I72" s="70"/>
      <c r="J72" s="53"/>
      <c r="K72" s="53"/>
    </row>
    <row r="73" spans="1:11" ht="15.75" x14ac:dyDescent="0.25">
      <c r="A73" s="48"/>
      <c r="B73" s="31"/>
      <c r="C73" s="25"/>
      <c r="D73" s="25"/>
      <c r="E73" s="44"/>
      <c r="F73" s="2"/>
      <c r="G73" s="2"/>
      <c r="H73" s="37"/>
      <c r="I73" s="33"/>
      <c r="J73" s="2"/>
      <c r="K73" s="51"/>
    </row>
    <row r="74" spans="1:11" ht="15.75" x14ac:dyDescent="0.25">
      <c r="A74" s="48"/>
      <c r="B74" s="31"/>
      <c r="C74" s="25"/>
      <c r="D74" s="25"/>
      <c r="E74" s="44"/>
      <c r="F74" s="2"/>
      <c r="G74" s="2"/>
      <c r="H74" s="37"/>
      <c r="I74" s="33"/>
      <c r="J74" s="2"/>
      <c r="K74" s="42"/>
    </row>
    <row r="75" spans="1:11" ht="15.75" x14ac:dyDescent="0.25">
      <c r="A75" s="48"/>
      <c r="B75" s="31"/>
      <c r="C75" s="44"/>
      <c r="D75" s="44"/>
      <c r="E75" s="44"/>
      <c r="F75" s="2"/>
      <c r="G75" s="2"/>
      <c r="H75" s="37"/>
      <c r="I75" s="33"/>
      <c r="J75" s="2"/>
      <c r="K75" s="42"/>
    </row>
    <row r="76" spans="1:11" ht="15.75" x14ac:dyDescent="0.25">
      <c r="A76" s="48"/>
      <c r="B76" s="31"/>
      <c r="C76" s="25"/>
      <c r="D76" s="25"/>
      <c r="E76" s="44"/>
      <c r="F76" s="2"/>
      <c r="G76" s="2"/>
      <c r="H76" s="37"/>
      <c r="I76" s="33"/>
      <c r="J76" s="2"/>
      <c r="K76" s="51"/>
    </row>
    <row r="77" spans="1:11" ht="15.75" x14ac:dyDescent="0.25">
      <c r="A77" s="48"/>
      <c r="B77" s="31"/>
      <c r="C77" s="25"/>
      <c r="D77" s="25"/>
      <c r="E77" s="44"/>
      <c r="F77" s="2"/>
      <c r="G77" s="2"/>
      <c r="H77" s="37"/>
      <c r="I77" s="33"/>
      <c r="J77" s="2"/>
      <c r="K77" s="42"/>
    </row>
    <row r="78" spans="1:11" ht="15.75" x14ac:dyDescent="0.25">
      <c r="A78" s="48"/>
      <c r="B78" s="31"/>
      <c r="C78" s="25"/>
      <c r="D78" s="25"/>
      <c r="E78" s="44"/>
      <c r="F78" s="2"/>
      <c r="G78" s="2"/>
      <c r="H78" s="37"/>
      <c r="I78" s="33"/>
      <c r="J78" s="2"/>
      <c r="K78" s="42"/>
    </row>
    <row r="79" spans="1:11" ht="15.75" x14ac:dyDescent="0.25">
      <c r="A79" s="48"/>
      <c r="B79" s="31"/>
      <c r="C79" s="44"/>
      <c r="D79" s="44"/>
      <c r="E79" s="44"/>
      <c r="F79" s="2"/>
      <c r="G79" s="2"/>
      <c r="H79" s="37"/>
      <c r="I79" s="33"/>
      <c r="J79" s="2"/>
      <c r="K79" s="42"/>
    </row>
    <row r="80" spans="1:11" ht="15.75" x14ac:dyDescent="0.25">
      <c r="A80" s="48"/>
      <c r="B80" s="31"/>
      <c r="C80" s="25"/>
      <c r="D80" s="25"/>
      <c r="E80" s="44"/>
      <c r="F80" s="2"/>
      <c r="G80" s="2"/>
      <c r="H80" s="37"/>
      <c r="I80" s="33"/>
      <c r="J80" s="2"/>
      <c r="K80" s="42"/>
    </row>
    <row r="81" spans="1:11" ht="15.75" x14ac:dyDescent="0.25">
      <c r="A81" s="48"/>
      <c r="B81" s="31"/>
      <c r="C81" s="25"/>
      <c r="D81" s="25"/>
      <c r="E81" s="44"/>
      <c r="F81" s="2"/>
      <c r="G81" s="2"/>
      <c r="H81" s="37"/>
      <c r="I81" s="33"/>
      <c r="J81" s="2"/>
      <c r="K81" s="42"/>
    </row>
    <row r="82" spans="1:11" ht="15.75" x14ac:dyDescent="0.25">
      <c r="A82" s="48"/>
      <c r="B82" s="31"/>
      <c r="C82" s="25"/>
      <c r="D82" s="25"/>
      <c r="E82" s="44"/>
      <c r="F82" s="2"/>
      <c r="G82" s="2"/>
      <c r="H82" s="37"/>
      <c r="I82" s="33"/>
      <c r="J82" s="2"/>
      <c r="K82" s="42"/>
    </row>
    <row r="83" spans="1:11" ht="15.75" x14ac:dyDescent="0.25">
      <c r="A83" s="48"/>
      <c r="B83" s="31"/>
      <c r="C83" s="25"/>
      <c r="D83" s="25"/>
      <c r="E83" s="44"/>
      <c r="F83" s="2"/>
      <c r="G83" s="2"/>
      <c r="H83" s="37"/>
      <c r="I83" s="33"/>
      <c r="J83" s="2"/>
      <c r="K83" s="42"/>
    </row>
    <row r="84" spans="1:11" ht="15.75" x14ac:dyDescent="0.25">
      <c r="A84" s="48"/>
      <c r="B84" s="31"/>
      <c r="C84" s="25"/>
      <c r="D84" s="25"/>
      <c r="E84" s="44"/>
      <c r="F84" s="2"/>
      <c r="G84" s="2"/>
      <c r="H84" s="37"/>
      <c r="I84" s="33"/>
      <c r="J84" s="2"/>
      <c r="K84" s="42"/>
    </row>
    <row r="85" spans="1:11" ht="15.75" x14ac:dyDescent="0.25">
      <c r="A85" s="48"/>
      <c r="B85" s="31"/>
      <c r="C85" s="44"/>
      <c r="D85" s="44"/>
      <c r="E85" s="44"/>
      <c r="F85" s="2"/>
      <c r="G85" s="2"/>
      <c r="H85" s="37"/>
      <c r="I85" s="33"/>
      <c r="J85" s="2"/>
      <c r="K85" s="42"/>
    </row>
    <row r="86" spans="1:11" ht="15.75" x14ac:dyDescent="0.25">
      <c r="A86" s="48"/>
      <c r="B86" s="31"/>
      <c r="C86" s="25"/>
      <c r="D86" s="25"/>
      <c r="E86" s="44"/>
      <c r="F86" s="2"/>
      <c r="G86" s="2"/>
      <c r="H86" s="37"/>
      <c r="I86" s="33"/>
      <c r="J86" s="2"/>
      <c r="K86" s="42"/>
    </row>
    <row r="87" spans="1:11" ht="15.75" x14ac:dyDescent="0.25">
      <c r="A87" s="48"/>
      <c r="B87" s="31"/>
      <c r="C87" s="25"/>
      <c r="D87" s="25"/>
      <c r="E87" s="44"/>
      <c r="F87" s="2"/>
      <c r="G87" s="2"/>
      <c r="H87" s="37"/>
      <c r="I87" s="33"/>
      <c r="J87" s="2"/>
      <c r="K87" s="42"/>
    </row>
    <row r="88" spans="1:11" ht="15.75" x14ac:dyDescent="0.25">
      <c r="A88" s="48"/>
      <c r="B88" s="31"/>
      <c r="C88" s="25"/>
      <c r="D88" s="25"/>
      <c r="E88" s="44"/>
      <c r="F88" s="2"/>
      <c r="G88" s="2"/>
      <c r="H88" s="37"/>
      <c r="I88" s="33"/>
      <c r="J88" s="2"/>
      <c r="K88" s="42"/>
    </row>
    <row r="89" spans="1:11" ht="15.75" x14ac:dyDescent="0.25">
      <c r="A89" s="48"/>
      <c r="B89" s="31"/>
      <c r="C89" s="25"/>
      <c r="D89" s="25"/>
      <c r="E89" s="44"/>
      <c r="F89" s="2"/>
      <c r="G89" s="2"/>
      <c r="H89" s="37"/>
      <c r="I89" s="33"/>
      <c r="J89" s="2"/>
      <c r="K89" s="42"/>
    </row>
    <row r="90" spans="1:11" ht="15.75" x14ac:dyDescent="0.25">
      <c r="A90" s="48"/>
      <c r="B90" s="31"/>
      <c r="C90" s="25"/>
      <c r="D90" s="25"/>
      <c r="E90" s="44"/>
      <c r="F90" s="2"/>
      <c r="G90" s="2"/>
      <c r="H90" s="37"/>
      <c r="I90" s="33"/>
      <c r="J90" s="2"/>
      <c r="K90" s="42"/>
    </row>
    <row r="91" spans="1:11" ht="15.75" x14ac:dyDescent="0.25">
      <c r="A91" s="48"/>
      <c r="B91" s="31"/>
      <c r="C91" s="25"/>
      <c r="D91" s="25"/>
      <c r="E91" s="44"/>
      <c r="F91" s="2"/>
      <c r="G91" s="2"/>
      <c r="H91" s="37"/>
      <c r="I91" s="33"/>
      <c r="J91" s="2"/>
      <c r="K91" s="42"/>
    </row>
    <row r="92" spans="1:11" ht="15.75" x14ac:dyDescent="0.25">
      <c r="A92" s="48"/>
      <c r="B92" s="31"/>
      <c r="C92" s="25"/>
      <c r="D92" s="25"/>
      <c r="E92" s="44"/>
      <c r="F92" s="2"/>
      <c r="G92" s="2"/>
      <c r="H92" s="37"/>
      <c r="I92" s="33"/>
      <c r="J92" s="2"/>
      <c r="K92" s="42"/>
    </row>
    <row r="93" spans="1:11" ht="15.75" x14ac:dyDescent="0.25">
      <c r="A93" s="48"/>
      <c r="B93" s="31"/>
      <c r="C93" s="25"/>
      <c r="D93" s="25"/>
      <c r="E93" s="44"/>
      <c r="F93" s="2"/>
      <c r="G93" s="2"/>
      <c r="H93" s="37"/>
      <c r="I93" s="33"/>
      <c r="J93" s="2"/>
      <c r="K93" s="42"/>
    </row>
    <row r="94" spans="1:11" ht="15.75" x14ac:dyDescent="0.25">
      <c r="A94" s="48"/>
      <c r="B94" s="31"/>
      <c r="C94" s="25"/>
      <c r="D94" s="25"/>
      <c r="E94" s="44"/>
      <c r="F94" s="2"/>
      <c r="G94" s="2"/>
      <c r="H94" s="37"/>
      <c r="I94" s="33"/>
      <c r="J94" s="2"/>
      <c r="K94" s="42"/>
    </row>
    <row r="95" spans="1:11" ht="15.75" x14ac:dyDescent="0.25">
      <c r="A95" s="48"/>
      <c r="B95" s="31"/>
      <c r="C95" s="25"/>
      <c r="D95" s="25"/>
      <c r="E95" s="44"/>
      <c r="F95" s="2"/>
      <c r="G95" s="2"/>
      <c r="H95" s="37"/>
      <c r="I95" s="33"/>
      <c r="J95" s="2"/>
      <c r="K95" s="42"/>
    </row>
    <row r="96" spans="1:11" ht="15.75" x14ac:dyDescent="0.25">
      <c r="A96" s="48"/>
      <c r="B96" s="31"/>
      <c r="C96" s="25"/>
      <c r="D96" s="25"/>
      <c r="E96" s="44"/>
      <c r="F96" s="2"/>
      <c r="G96" s="2"/>
      <c r="H96" s="37"/>
      <c r="I96" s="33"/>
      <c r="J96" s="2"/>
      <c r="K96" s="42"/>
    </row>
    <row r="97" spans="1:11" ht="15.75" x14ac:dyDescent="0.25">
      <c r="A97" s="48"/>
      <c r="B97" s="31"/>
      <c r="C97" s="25"/>
      <c r="D97" s="25"/>
      <c r="E97" s="44"/>
      <c r="F97" s="2"/>
      <c r="G97" s="2"/>
      <c r="H97" s="37"/>
      <c r="I97" s="33"/>
      <c r="J97" s="2"/>
      <c r="K97" s="42"/>
    </row>
    <row r="98" spans="1:11" ht="15.75" x14ac:dyDescent="0.25">
      <c r="A98" s="48"/>
      <c r="B98" s="31"/>
      <c r="C98" s="25"/>
      <c r="D98" s="25"/>
      <c r="E98" s="44"/>
      <c r="F98" s="2"/>
      <c r="G98" s="2"/>
      <c r="H98" s="37"/>
      <c r="I98" s="33"/>
      <c r="J98" s="2"/>
      <c r="K98" s="42"/>
    </row>
    <row r="99" spans="1:11" ht="15.75" x14ac:dyDescent="0.25">
      <c r="A99" s="48"/>
      <c r="B99" s="31"/>
      <c r="C99" s="44"/>
      <c r="D99" s="44"/>
      <c r="E99" s="44"/>
      <c r="F99" s="2"/>
      <c r="G99" s="2"/>
      <c r="H99" s="37"/>
      <c r="I99" s="33"/>
      <c r="J99" s="2"/>
      <c r="K99" s="42"/>
    </row>
    <row r="100" spans="1:11" ht="15.75" x14ac:dyDescent="0.25">
      <c r="A100" s="48"/>
      <c r="B100" s="31"/>
      <c r="C100" s="25"/>
      <c r="D100" s="25"/>
      <c r="E100" s="44"/>
      <c r="F100" s="2"/>
      <c r="G100" s="2"/>
      <c r="H100" s="37"/>
      <c r="I100" s="33"/>
      <c r="J100" s="2"/>
      <c r="K100" s="42"/>
    </row>
    <row r="101" spans="1:11" ht="15.75" x14ac:dyDescent="0.25">
      <c r="A101" s="48"/>
      <c r="B101" s="31"/>
      <c r="C101" s="25"/>
      <c r="D101" s="25"/>
      <c r="E101" s="44"/>
      <c r="F101" s="2"/>
      <c r="G101" s="2"/>
      <c r="H101" s="37"/>
      <c r="I101" s="33"/>
      <c r="J101" s="2"/>
      <c r="K101" s="42"/>
    </row>
    <row r="102" spans="1:11" ht="15.75" x14ac:dyDescent="0.25">
      <c r="A102" s="48"/>
      <c r="B102" s="31"/>
      <c r="C102" s="44"/>
      <c r="D102" s="44"/>
      <c r="E102" s="44"/>
      <c r="F102" s="2"/>
      <c r="G102" s="2"/>
      <c r="H102" s="37"/>
      <c r="I102" s="33"/>
      <c r="J102" s="2"/>
      <c r="K102" s="42"/>
    </row>
    <row r="103" spans="1:11" ht="15.75" x14ac:dyDescent="0.25">
      <c r="A103" s="48"/>
      <c r="B103" s="31"/>
      <c r="C103" s="25"/>
      <c r="D103" s="25"/>
      <c r="E103" s="44"/>
      <c r="F103" s="2"/>
      <c r="G103" s="2"/>
      <c r="H103" s="37"/>
      <c r="I103" s="33"/>
      <c r="J103" s="2"/>
      <c r="K103" s="42"/>
    </row>
    <row r="104" spans="1:11" ht="15.75" x14ac:dyDescent="0.25">
      <c r="A104" s="48"/>
      <c r="B104" s="31"/>
      <c r="C104" s="25"/>
      <c r="D104" s="25"/>
      <c r="E104" s="44"/>
      <c r="F104" s="2"/>
      <c r="G104" s="2"/>
      <c r="H104" s="37"/>
      <c r="I104" s="33"/>
      <c r="J104" s="2"/>
      <c r="K104" s="42"/>
    </row>
    <row r="105" spans="1:11" ht="15.75" x14ac:dyDescent="0.25">
      <c r="A105" s="48"/>
      <c r="B105" s="31"/>
      <c r="C105" s="25"/>
      <c r="D105" s="25"/>
      <c r="E105" s="44"/>
      <c r="F105" s="2"/>
      <c r="G105" s="2"/>
      <c r="H105" s="37"/>
      <c r="I105" s="33"/>
      <c r="J105" s="2"/>
      <c r="K105" s="42"/>
    </row>
    <row r="106" spans="1:11" ht="15.75" x14ac:dyDescent="0.25">
      <c r="A106" s="48"/>
      <c r="B106" s="31"/>
      <c r="C106" s="25"/>
      <c r="D106" s="25"/>
      <c r="E106" s="44"/>
      <c r="F106" s="2"/>
      <c r="G106" s="2"/>
      <c r="H106" s="37"/>
      <c r="I106" s="33"/>
      <c r="J106" s="2"/>
      <c r="K106" s="42"/>
    </row>
    <row r="107" spans="1:11" ht="15.75" x14ac:dyDescent="0.25">
      <c r="A107" s="48"/>
      <c r="B107" s="31"/>
      <c r="C107" s="44"/>
      <c r="D107" s="44"/>
      <c r="E107" s="44"/>
      <c r="F107" s="2"/>
      <c r="G107" s="2"/>
      <c r="H107" s="37"/>
      <c r="I107" s="33"/>
      <c r="J107" s="2"/>
      <c r="K107" s="42"/>
    </row>
    <row r="108" spans="1:11" ht="15.75" x14ac:dyDescent="0.25">
      <c r="A108" s="48"/>
      <c r="B108" s="31"/>
      <c r="C108" s="44"/>
      <c r="D108" s="44"/>
      <c r="E108" s="44"/>
      <c r="F108" s="2"/>
      <c r="G108" s="2"/>
      <c r="H108" s="37"/>
      <c r="I108" s="33"/>
      <c r="J108" s="2"/>
      <c r="K108" s="42"/>
    </row>
    <row r="109" spans="1:11" ht="15.75" x14ac:dyDescent="0.25">
      <c r="A109" s="48"/>
      <c r="B109" s="31"/>
      <c r="C109" s="25"/>
      <c r="D109" s="25"/>
      <c r="E109" s="44"/>
      <c r="F109" s="2"/>
      <c r="G109" s="2"/>
      <c r="H109" s="37"/>
      <c r="I109" s="33"/>
      <c r="J109" s="2"/>
      <c r="K109" s="42"/>
    </row>
    <row r="110" spans="1:11" ht="15.75" x14ac:dyDescent="0.25">
      <c r="A110" s="48"/>
      <c r="B110" s="31"/>
      <c r="C110" s="25"/>
      <c r="D110" s="25"/>
      <c r="E110" s="44"/>
      <c r="F110" s="2"/>
      <c r="G110" s="2"/>
      <c r="H110" s="37"/>
      <c r="I110" s="33"/>
      <c r="J110" s="2"/>
      <c r="K110" s="42"/>
    </row>
    <row r="111" spans="1:11" x14ac:dyDescent="0.25">
      <c r="A111" s="71"/>
      <c r="B111" s="55"/>
      <c r="C111" s="55"/>
      <c r="D111" s="55"/>
      <c r="E111" s="55"/>
      <c r="F111" s="55"/>
      <c r="G111" s="55"/>
      <c r="H111" s="56"/>
      <c r="I111" s="71"/>
      <c r="J111" s="55"/>
      <c r="K111" s="55"/>
    </row>
    <row r="112" spans="1:11" ht="15.75" x14ac:dyDescent="0.25">
      <c r="A112" s="48"/>
      <c r="B112" s="31"/>
      <c r="C112" s="25"/>
      <c r="D112" s="25"/>
      <c r="E112" s="44"/>
      <c r="F112" s="2"/>
      <c r="G112" s="2"/>
      <c r="H112" s="37"/>
      <c r="I112" s="33"/>
      <c r="J112" s="2"/>
      <c r="K112" s="57"/>
    </row>
    <row r="113" spans="1:11" ht="15.75" x14ac:dyDescent="0.25">
      <c r="A113" s="48"/>
      <c r="B113" s="31"/>
      <c r="C113" s="25"/>
      <c r="D113" s="25"/>
      <c r="E113" s="44"/>
      <c r="F113" s="2"/>
      <c r="G113" s="2"/>
      <c r="H113" s="37"/>
      <c r="I113" s="33"/>
      <c r="J113" s="2"/>
      <c r="K113" s="57"/>
    </row>
    <row r="114" spans="1:11" ht="15.75" x14ac:dyDescent="0.25">
      <c r="A114" s="48"/>
      <c r="B114" s="31"/>
      <c r="C114" s="25"/>
      <c r="D114" s="25"/>
      <c r="E114" s="44"/>
      <c r="F114" s="2"/>
      <c r="G114" s="2"/>
      <c r="H114" s="37"/>
      <c r="I114" s="33"/>
      <c r="J114" s="2"/>
      <c r="K114" s="42"/>
    </row>
    <row r="115" spans="1:11" ht="15.75" x14ac:dyDescent="0.25">
      <c r="A115" s="48"/>
      <c r="B115" s="31"/>
      <c r="C115" s="25"/>
      <c r="D115" s="25"/>
      <c r="E115" s="44"/>
      <c r="F115" s="2"/>
      <c r="G115" s="2"/>
      <c r="H115" s="37"/>
      <c r="I115" s="33"/>
      <c r="J115" s="2"/>
      <c r="K115" s="42"/>
    </row>
    <row r="116" spans="1:11" ht="15.75" x14ac:dyDescent="0.25">
      <c r="A116" s="48"/>
      <c r="B116" s="31"/>
      <c r="C116" s="25"/>
      <c r="D116" s="25"/>
      <c r="E116" s="44"/>
      <c r="F116" s="2"/>
      <c r="G116" s="2"/>
      <c r="H116" s="37"/>
      <c r="I116" s="33"/>
      <c r="J116" s="2"/>
      <c r="K116" s="42"/>
    </row>
    <row r="117" spans="1:11" ht="15.75" x14ac:dyDescent="0.25">
      <c r="A117" s="48"/>
      <c r="B117" s="31"/>
      <c r="C117" s="25"/>
      <c r="D117" s="25"/>
      <c r="E117" s="44"/>
      <c r="F117" s="2"/>
      <c r="G117" s="2"/>
      <c r="H117" s="37"/>
      <c r="I117" s="33"/>
      <c r="J117" s="2"/>
      <c r="K117" s="42"/>
    </row>
    <row r="118" spans="1:11" ht="15.75" x14ac:dyDescent="0.25">
      <c r="A118" s="48"/>
      <c r="B118" s="31"/>
      <c r="C118" s="25"/>
      <c r="D118" s="25"/>
      <c r="E118" s="44"/>
      <c r="F118" s="2"/>
      <c r="G118" s="2"/>
      <c r="H118" s="37"/>
      <c r="I118" s="33"/>
      <c r="J118" s="2"/>
      <c r="K118" s="42"/>
    </row>
    <row r="119" spans="1:11" ht="15.75" x14ac:dyDescent="0.25">
      <c r="A119" s="48"/>
      <c r="B119" s="31"/>
      <c r="C119" s="25"/>
      <c r="D119" s="25"/>
      <c r="E119" s="44"/>
      <c r="F119" s="2"/>
      <c r="G119" s="2"/>
      <c r="H119" s="37"/>
      <c r="I119" s="33"/>
      <c r="J119" s="2"/>
      <c r="K119" s="42"/>
    </row>
    <row r="120" spans="1:11" ht="15.75" x14ac:dyDescent="0.25">
      <c r="A120" s="48"/>
      <c r="B120" s="31"/>
      <c r="C120" s="25"/>
      <c r="D120" s="25"/>
      <c r="E120" s="44"/>
      <c r="F120" s="2"/>
      <c r="G120" s="2"/>
      <c r="H120" s="37"/>
      <c r="I120" s="33"/>
      <c r="J120" s="2"/>
      <c r="K120" s="42"/>
    </row>
    <row r="121" spans="1:11" ht="15.75" x14ac:dyDescent="0.25">
      <c r="A121" s="48"/>
      <c r="B121" s="31"/>
      <c r="C121" s="25"/>
      <c r="D121" s="25"/>
      <c r="E121" s="44"/>
      <c r="F121" s="2"/>
      <c r="G121" s="2"/>
      <c r="H121" s="37"/>
      <c r="I121" s="33"/>
      <c r="J121" s="2"/>
      <c r="K121" s="42"/>
    </row>
    <row r="122" spans="1:11" ht="15.75" x14ac:dyDescent="0.25">
      <c r="A122" s="48"/>
      <c r="B122" s="31"/>
      <c r="C122" s="25"/>
      <c r="D122" s="25"/>
      <c r="E122" s="44"/>
      <c r="F122" s="2"/>
      <c r="G122" s="2"/>
      <c r="H122" s="37"/>
      <c r="I122" s="33"/>
      <c r="J122" s="2"/>
      <c r="K122" s="42"/>
    </row>
    <row r="123" spans="1:11" ht="15.75" x14ac:dyDescent="0.25">
      <c r="A123" s="48"/>
      <c r="B123" s="31"/>
      <c r="C123" s="26"/>
      <c r="D123" s="26"/>
      <c r="E123" s="26"/>
      <c r="F123" s="5"/>
      <c r="G123" s="5"/>
      <c r="H123" s="38"/>
      <c r="I123" s="48"/>
      <c r="J123" s="5"/>
      <c r="K123" s="42"/>
    </row>
    <row r="124" spans="1:11" ht="15.75" x14ac:dyDescent="0.25">
      <c r="A124" s="48"/>
      <c r="B124" s="31"/>
      <c r="C124" s="26"/>
      <c r="D124" s="26"/>
      <c r="E124" s="26"/>
      <c r="F124" s="5"/>
      <c r="G124" s="5"/>
      <c r="H124" s="38"/>
      <c r="I124" s="48"/>
      <c r="J124" s="5"/>
      <c r="K124" s="42"/>
    </row>
    <row r="125" spans="1:11" ht="15.75" x14ac:dyDescent="0.25">
      <c r="A125" s="48"/>
      <c r="B125" s="31"/>
      <c r="C125" s="26"/>
      <c r="D125" s="26"/>
      <c r="E125" s="26"/>
      <c r="F125" s="5"/>
      <c r="G125" s="5"/>
      <c r="H125" s="38"/>
      <c r="I125" s="48"/>
      <c r="J125" s="5"/>
      <c r="K125" s="42"/>
    </row>
    <row r="126" spans="1:11" ht="15.75" x14ac:dyDescent="0.25">
      <c r="A126" s="48"/>
      <c r="B126" s="31"/>
      <c r="C126" s="26"/>
      <c r="D126" s="26"/>
      <c r="E126" s="26"/>
      <c r="F126" s="5"/>
      <c r="G126" s="5"/>
      <c r="H126" s="38"/>
      <c r="I126" s="48"/>
      <c r="J126" s="5"/>
      <c r="K126" s="42"/>
    </row>
    <row r="127" spans="1:11" x14ac:dyDescent="0.25">
      <c r="A127" s="48"/>
      <c r="B127" s="31"/>
      <c r="C127" s="26"/>
      <c r="D127" s="26"/>
      <c r="E127" s="26"/>
      <c r="F127" s="5"/>
      <c r="G127" s="5"/>
      <c r="H127" s="38"/>
      <c r="I127" s="48"/>
      <c r="J127" s="5"/>
      <c r="K127" s="5"/>
    </row>
    <row r="128" spans="1:11" ht="15.75" x14ac:dyDescent="0.25">
      <c r="A128" s="48"/>
      <c r="B128" s="31"/>
      <c r="C128" s="26"/>
      <c r="D128" s="26"/>
      <c r="E128" s="26"/>
      <c r="F128" s="5"/>
      <c r="G128" s="5"/>
      <c r="H128" s="38"/>
      <c r="I128" s="48"/>
      <c r="J128" s="5"/>
      <c r="K128" s="42"/>
    </row>
    <row r="129" spans="1:11" ht="15.75" x14ac:dyDescent="0.25">
      <c r="A129" s="48"/>
      <c r="B129" s="31"/>
      <c r="C129" s="26"/>
      <c r="D129" s="26"/>
      <c r="E129" s="26"/>
      <c r="F129" s="5"/>
      <c r="G129" s="5"/>
      <c r="H129" s="38"/>
      <c r="I129" s="48"/>
      <c r="J129" s="5"/>
      <c r="K129" s="42"/>
    </row>
    <row r="130" spans="1:11" x14ac:dyDescent="0.25">
      <c r="A130" s="48"/>
      <c r="B130" s="31"/>
      <c r="C130" s="27"/>
      <c r="D130" s="27"/>
      <c r="E130" s="27"/>
      <c r="F130" s="6"/>
      <c r="G130" s="6"/>
      <c r="H130" s="39"/>
      <c r="I130" s="34"/>
      <c r="J130" s="6"/>
      <c r="K130" s="51"/>
    </row>
    <row r="131" spans="1:11" ht="15.75" x14ac:dyDescent="0.25">
      <c r="A131" s="48"/>
      <c r="B131" s="31"/>
      <c r="C131" s="25"/>
      <c r="D131" s="25"/>
      <c r="E131" s="27"/>
      <c r="F131" s="6"/>
      <c r="G131" s="6"/>
      <c r="H131" s="39"/>
      <c r="I131" s="34"/>
      <c r="J131" s="6"/>
      <c r="K131" s="57"/>
    </row>
    <row r="132" spans="1:11" ht="15.75" x14ac:dyDescent="0.25">
      <c r="A132" s="48"/>
      <c r="B132" s="31"/>
      <c r="C132" s="25"/>
      <c r="D132" s="25"/>
      <c r="E132" s="27"/>
      <c r="F132" s="6"/>
      <c r="G132" s="6"/>
      <c r="H132" s="39"/>
      <c r="I132" s="34"/>
      <c r="J132" s="6"/>
      <c r="K132" s="57"/>
    </row>
    <row r="133" spans="1:11" ht="15.75" x14ac:dyDescent="0.25">
      <c r="A133" s="48"/>
      <c r="B133" s="31"/>
      <c r="C133" s="25"/>
      <c r="D133" s="25"/>
      <c r="E133" s="27"/>
      <c r="F133" s="6"/>
      <c r="G133" s="6"/>
      <c r="H133" s="39"/>
      <c r="I133" s="34"/>
      <c r="J133" s="6"/>
      <c r="K133" s="57"/>
    </row>
    <row r="134" spans="1:11" ht="15.75" x14ac:dyDescent="0.25">
      <c r="A134" s="48"/>
      <c r="B134" s="31"/>
      <c r="C134" s="25"/>
      <c r="D134" s="25"/>
      <c r="E134" s="27"/>
      <c r="F134" s="6"/>
      <c r="G134" s="6"/>
      <c r="H134" s="39"/>
      <c r="I134" s="34"/>
      <c r="J134" s="6"/>
      <c r="K134" s="42"/>
    </row>
    <row r="135" spans="1:11" ht="15.75" x14ac:dyDescent="0.25">
      <c r="A135" s="48"/>
      <c r="B135" s="31"/>
      <c r="C135" s="25"/>
      <c r="D135" s="25"/>
      <c r="E135" s="27"/>
      <c r="F135" s="6"/>
      <c r="G135" s="6"/>
      <c r="H135" s="39"/>
      <c r="I135" s="34"/>
      <c r="J135" s="6"/>
      <c r="K135" s="42"/>
    </row>
    <row r="136" spans="1:11" x14ac:dyDescent="0.25">
      <c r="A136" s="70"/>
      <c r="B136" s="53"/>
      <c r="C136" s="53"/>
      <c r="D136" s="53"/>
      <c r="E136" s="53"/>
      <c r="F136" s="53"/>
      <c r="G136" s="53"/>
      <c r="H136" s="54"/>
      <c r="I136" s="70"/>
      <c r="J136" s="53"/>
      <c r="K136" s="53"/>
    </row>
    <row r="137" spans="1:11" ht="15.75" x14ac:dyDescent="0.25">
      <c r="A137" s="48"/>
      <c r="B137" s="31"/>
      <c r="C137" s="25"/>
      <c r="D137" s="25"/>
      <c r="E137" s="27"/>
      <c r="F137" s="6"/>
      <c r="G137" s="6"/>
      <c r="H137" s="39"/>
      <c r="I137" s="34"/>
      <c r="J137" s="6"/>
      <c r="K137" s="57"/>
    </row>
    <row r="138" spans="1:11" ht="15.75" x14ac:dyDescent="0.25">
      <c r="A138" s="48"/>
      <c r="B138" s="31"/>
      <c r="C138" s="25"/>
      <c r="D138" s="25"/>
      <c r="E138" s="27"/>
      <c r="F138" s="6"/>
      <c r="G138" s="6"/>
      <c r="H138" s="39"/>
      <c r="I138" s="34"/>
      <c r="J138" s="6"/>
      <c r="K138" s="57"/>
    </row>
    <row r="139" spans="1:11" ht="15.75" x14ac:dyDescent="0.25">
      <c r="A139" s="48"/>
      <c r="B139" s="31"/>
      <c r="C139" s="25"/>
      <c r="D139" s="25"/>
      <c r="E139" s="27"/>
      <c r="F139" s="6"/>
      <c r="G139" s="6"/>
      <c r="H139" s="39"/>
      <c r="I139" s="34"/>
      <c r="J139" s="6"/>
      <c r="K139" s="57"/>
    </row>
    <row r="140" spans="1:11" ht="15.75" x14ac:dyDescent="0.25">
      <c r="A140" s="48"/>
      <c r="B140" s="31"/>
      <c r="C140" s="25"/>
      <c r="D140" s="25"/>
      <c r="E140" s="27"/>
      <c r="F140" s="6"/>
      <c r="G140" s="6"/>
      <c r="H140" s="39"/>
      <c r="I140" s="34"/>
      <c r="J140" s="6"/>
      <c r="K140" s="42"/>
    </row>
    <row r="141" spans="1:11" ht="15.75" x14ac:dyDescent="0.25">
      <c r="A141" s="48"/>
      <c r="B141" s="31"/>
      <c r="C141" s="25"/>
      <c r="D141" s="25"/>
      <c r="E141" s="27"/>
      <c r="F141" s="6"/>
      <c r="G141" s="6"/>
      <c r="H141" s="39"/>
      <c r="I141" s="34"/>
      <c r="J141" s="6"/>
      <c r="K141" s="42"/>
    </row>
    <row r="142" spans="1:11" x14ac:dyDescent="0.25">
      <c r="A142" s="48"/>
      <c r="B142" s="31"/>
      <c r="C142" s="27"/>
      <c r="D142" s="27"/>
      <c r="E142" s="27"/>
      <c r="F142" s="6"/>
      <c r="G142" s="6"/>
      <c r="H142" s="39"/>
      <c r="I142" s="34"/>
      <c r="J142" s="6"/>
      <c r="K142" s="51"/>
    </row>
    <row r="143" spans="1:11" x14ac:dyDescent="0.25">
      <c r="A143" s="48"/>
      <c r="B143" s="31"/>
      <c r="C143" s="27"/>
      <c r="D143" s="27"/>
      <c r="E143" s="27"/>
      <c r="F143" s="6"/>
      <c r="G143" s="6"/>
      <c r="H143" s="39"/>
      <c r="I143" s="34"/>
      <c r="J143" s="6"/>
      <c r="K143" s="35"/>
    </row>
    <row r="144" spans="1:11" ht="15.75" x14ac:dyDescent="0.25">
      <c r="A144" s="48"/>
      <c r="B144" s="31"/>
      <c r="C144" s="25"/>
      <c r="D144" s="25"/>
      <c r="E144" s="27"/>
      <c r="F144" s="6"/>
      <c r="G144" s="6"/>
      <c r="H144" s="39"/>
      <c r="I144" s="34"/>
      <c r="J144" s="6"/>
      <c r="K144" s="42"/>
    </row>
    <row r="145" spans="1:11" ht="15.75" x14ac:dyDescent="0.25">
      <c r="A145" s="48"/>
      <c r="B145" s="31"/>
      <c r="C145" s="25"/>
      <c r="D145" s="25"/>
      <c r="E145" s="27"/>
      <c r="F145" s="6"/>
      <c r="G145" s="6"/>
      <c r="H145" s="39"/>
      <c r="I145" s="34"/>
      <c r="J145" s="6"/>
      <c r="K145" s="57"/>
    </row>
    <row r="146" spans="1:11" ht="15.75" x14ac:dyDescent="0.25">
      <c r="A146" s="48"/>
      <c r="B146" s="31"/>
      <c r="C146" s="25"/>
      <c r="D146" s="25"/>
      <c r="E146" s="27"/>
      <c r="F146" s="6"/>
      <c r="G146" s="6"/>
      <c r="H146" s="39"/>
      <c r="I146" s="34"/>
      <c r="J146" s="6"/>
      <c r="K146" s="42"/>
    </row>
    <row r="147" spans="1:11" x14ac:dyDescent="0.25">
      <c r="A147" s="48"/>
      <c r="B147" s="31"/>
      <c r="C147" s="27"/>
      <c r="D147" s="27"/>
      <c r="E147" s="27"/>
      <c r="F147" s="6"/>
      <c r="G147" s="6"/>
      <c r="H147" s="39"/>
      <c r="I147" s="34"/>
      <c r="J147" s="6"/>
      <c r="K147" s="51"/>
    </row>
    <row r="148" spans="1:11" ht="15.75" x14ac:dyDescent="0.25">
      <c r="A148" s="48"/>
      <c r="B148" s="31"/>
      <c r="C148" s="27"/>
      <c r="D148" s="27"/>
      <c r="E148" s="27"/>
      <c r="F148" s="6"/>
      <c r="G148" s="6"/>
      <c r="H148" s="39"/>
      <c r="I148" s="34"/>
      <c r="J148" s="6"/>
      <c r="K148" s="57"/>
    </row>
    <row r="149" spans="1:11" ht="15.75" x14ac:dyDescent="0.25">
      <c r="A149" s="48"/>
      <c r="B149" s="31"/>
      <c r="C149" s="27"/>
      <c r="D149" s="27"/>
      <c r="E149" s="27"/>
      <c r="F149" s="6"/>
      <c r="G149" s="6"/>
      <c r="H149" s="39"/>
      <c r="I149" s="34"/>
      <c r="J149" s="6"/>
      <c r="K149" s="57"/>
    </row>
    <row r="150" spans="1:11" ht="15.75" x14ac:dyDescent="0.25">
      <c r="A150" s="48"/>
      <c r="B150" s="31"/>
      <c r="C150" s="27"/>
      <c r="D150" s="27"/>
      <c r="E150" s="27"/>
      <c r="F150" s="6"/>
      <c r="G150" s="6"/>
      <c r="H150" s="39"/>
      <c r="I150" s="34"/>
      <c r="J150" s="6"/>
      <c r="K150" s="57"/>
    </row>
    <row r="151" spans="1:11" ht="15.75" x14ac:dyDescent="0.25">
      <c r="A151" s="48"/>
      <c r="B151" s="31"/>
      <c r="C151" s="27"/>
      <c r="D151" s="27"/>
      <c r="E151" s="27"/>
      <c r="F151" s="6"/>
      <c r="G151" s="6"/>
      <c r="H151" s="39"/>
      <c r="I151" s="34"/>
      <c r="J151" s="6"/>
      <c r="K151" s="42"/>
    </row>
    <row r="152" spans="1:11" ht="15.75" x14ac:dyDescent="0.25">
      <c r="A152" s="48"/>
      <c r="B152" s="31"/>
      <c r="C152" s="27"/>
      <c r="D152" s="27"/>
      <c r="E152" s="27"/>
      <c r="F152" s="6"/>
      <c r="G152" s="6"/>
      <c r="H152" s="39"/>
      <c r="I152" s="34"/>
      <c r="J152" s="6"/>
      <c r="K152" s="42"/>
    </row>
    <row r="153" spans="1:11" ht="15.75" x14ac:dyDescent="0.25">
      <c r="A153" s="34"/>
      <c r="B153" s="30"/>
      <c r="C153" s="27"/>
      <c r="D153" s="27"/>
      <c r="E153" s="27"/>
      <c r="F153" s="6"/>
      <c r="G153" s="6"/>
      <c r="H153" s="39"/>
      <c r="I153" s="34"/>
      <c r="J153" s="6"/>
      <c r="K153" s="42"/>
    </row>
    <row r="154" spans="1:11" ht="15.75" x14ac:dyDescent="0.25">
      <c r="A154" s="34"/>
      <c r="B154" s="30"/>
      <c r="C154" s="27"/>
      <c r="D154" s="27"/>
      <c r="E154" s="27"/>
      <c r="F154" s="6"/>
      <c r="G154" s="6"/>
      <c r="H154" s="39"/>
      <c r="I154" s="34"/>
      <c r="J154" s="6"/>
      <c r="K154" s="42"/>
    </row>
    <row r="155" spans="1:11" ht="15.75" x14ac:dyDescent="0.25">
      <c r="A155" s="34"/>
      <c r="B155" s="30"/>
      <c r="C155" s="27"/>
      <c r="D155" s="27"/>
      <c r="E155" s="27"/>
      <c r="F155" s="6"/>
      <c r="G155" s="6"/>
      <c r="H155" s="39"/>
      <c r="I155" s="34"/>
      <c r="J155" s="6"/>
      <c r="K155" s="42"/>
    </row>
    <row r="156" spans="1:11" ht="15.75" x14ac:dyDescent="0.25">
      <c r="A156" s="34"/>
      <c r="B156" s="30"/>
      <c r="C156" s="27"/>
      <c r="D156" s="27"/>
      <c r="E156" s="27"/>
      <c r="F156" s="6"/>
      <c r="G156" s="6"/>
      <c r="H156" s="39"/>
      <c r="I156" s="34"/>
      <c r="J156" s="6"/>
      <c r="K156" s="42"/>
    </row>
    <row r="157" spans="1:11" ht="15.75" x14ac:dyDescent="0.25">
      <c r="A157" s="34"/>
      <c r="B157" s="30"/>
      <c r="C157" s="25"/>
      <c r="D157" s="25"/>
      <c r="E157" s="27"/>
      <c r="F157" s="6"/>
      <c r="G157" s="6"/>
      <c r="H157" s="39"/>
      <c r="I157" s="34"/>
      <c r="J157" s="6"/>
      <c r="K157" s="42"/>
    </row>
    <row r="158" spans="1:11" ht="15.75" x14ac:dyDescent="0.25">
      <c r="A158" s="34"/>
      <c r="B158" s="30"/>
      <c r="C158" s="27"/>
      <c r="D158" s="27"/>
      <c r="E158" s="27"/>
      <c r="F158" s="6"/>
      <c r="G158" s="6"/>
      <c r="H158" s="39"/>
      <c r="I158" s="34"/>
      <c r="J158" s="6"/>
      <c r="K158" s="42"/>
    </row>
    <row r="159" spans="1:11" ht="15.75" x14ac:dyDescent="0.25">
      <c r="A159" s="34"/>
      <c r="B159" s="30"/>
      <c r="C159" s="27"/>
      <c r="D159" s="27"/>
      <c r="E159" s="27"/>
      <c r="F159" s="6"/>
      <c r="G159" s="6"/>
      <c r="H159" s="39"/>
      <c r="I159" s="34"/>
      <c r="J159" s="6"/>
      <c r="K159" s="42"/>
    </row>
    <row r="160" spans="1:11" ht="15.75" x14ac:dyDescent="0.25">
      <c r="A160" s="34"/>
      <c r="B160" s="30"/>
      <c r="C160" s="44"/>
      <c r="D160" s="44"/>
      <c r="E160" s="27"/>
      <c r="F160" s="6"/>
      <c r="G160" s="6"/>
      <c r="H160" s="39"/>
      <c r="I160" s="34"/>
      <c r="J160" s="6"/>
      <c r="K160" s="42"/>
    </row>
    <row r="161" spans="1:11" ht="15.75" x14ac:dyDescent="0.25">
      <c r="A161" s="34"/>
      <c r="B161" s="30"/>
      <c r="C161" s="27"/>
      <c r="D161" s="27"/>
      <c r="E161" s="27"/>
      <c r="F161" s="6"/>
      <c r="G161" s="6"/>
      <c r="H161" s="39"/>
      <c r="I161" s="34"/>
      <c r="J161" s="6"/>
      <c r="K161" s="42"/>
    </row>
    <row r="162" spans="1:11" ht="15.75" x14ac:dyDescent="0.25">
      <c r="A162" s="34"/>
      <c r="B162" s="30"/>
      <c r="C162" s="25"/>
      <c r="D162" s="25"/>
      <c r="E162" s="27"/>
      <c r="F162" s="6"/>
      <c r="G162" s="6"/>
      <c r="H162" s="39"/>
      <c r="I162" s="34"/>
      <c r="J162" s="6"/>
      <c r="K162" s="2"/>
    </row>
    <row r="163" spans="1:11" ht="15.75" x14ac:dyDescent="0.25">
      <c r="A163" s="34"/>
      <c r="B163" s="30"/>
      <c r="C163" s="25"/>
      <c r="D163" s="25"/>
      <c r="E163" s="27"/>
      <c r="F163" s="6"/>
      <c r="G163" s="6"/>
      <c r="H163" s="39"/>
      <c r="I163" s="34"/>
      <c r="J163" s="6"/>
      <c r="K163" s="2"/>
    </row>
    <row r="164" spans="1:11" ht="15.75" x14ac:dyDescent="0.25">
      <c r="A164" s="34"/>
      <c r="B164" s="30"/>
      <c r="C164" s="25"/>
      <c r="D164" s="25"/>
      <c r="E164" s="27"/>
      <c r="F164" s="6"/>
      <c r="G164" s="6"/>
      <c r="H164" s="39"/>
      <c r="I164" s="34"/>
      <c r="J164" s="6"/>
      <c r="K164" s="42"/>
    </row>
    <row r="165" spans="1:11" ht="15.75" x14ac:dyDescent="0.25">
      <c r="A165" s="34"/>
      <c r="B165" s="30"/>
      <c r="C165" s="25"/>
      <c r="D165" s="25"/>
      <c r="E165" s="27"/>
      <c r="F165" s="6"/>
      <c r="G165" s="6"/>
      <c r="H165" s="39"/>
      <c r="I165" s="34"/>
      <c r="J165" s="6"/>
      <c r="K165" s="42"/>
    </row>
    <row r="166" spans="1:11" ht="15.75" x14ac:dyDescent="0.25">
      <c r="A166" s="34"/>
      <c r="B166" s="30"/>
      <c r="C166" s="25"/>
      <c r="D166" s="25"/>
      <c r="E166" s="27"/>
      <c r="F166" s="6"/>
      <c r="G166" s="6"/>
      <c r="H166" s="39"/>
      <c r="I166" s="34"/>
      <c r="J166" s="6"/>
      <c r="K166" s="42"/>
    </row>
    <row r="167" spans="1:11" ht="15.75" x14ac:dyDescent="0.25">
      <c r="A167" s="34"/>
      <c r="B167" s="30"/>
      <c r="C167" s="25"/>
      <c r="D167" s="25"/>
      <c r="E167" s="27"/>
      <c r="F167" s="6"/>
      <c r="G167" s="6"/>
      <c r="H167" s="39"/>
      <c r="I167" s="34"/>
      <c r="J167" s="6"/>
      <c r="K167" s="42"/>
    </row>
    <row r="168" spans="1:11" x14ac:dyDescent="0.25">
      <c r="A168" s="72"/>
      <c r="B168" s="58"/>
      <c r="C168" s="58"/>
      <c r="D168" s="58"/>
      <c r="E168" s="58"/>
      <c r="F168" s="58"/>
      <c r="G168" s="58"/>
      <c r="H168" s="59"/>
      <c r="I168" s="72"/>
      <c r="J168" s="58"/>
      <c r="K168" s="55"/>
    </row>
    <row r="169" spans="1:11" ht="15.75" x14ac:dyDescent="0.25">
      <c r="A169" s="34"/>
      <c r="B169" s="30"/>
      <c r="C169" s="25"/>
      <c r="D169" s="25"/>
      <c r="E169" s="27"/>
      <c r="F169" s="6"/>
      <c r="G169" s="6"/>
      <c r="H169" s="39"/>
      <c r="I169" s="34"/>
      <c r="J169" s="6"/>
      <c r="K169" s="51"/>
    </row>
    <row r="170" spans="1:11" ht="15.75" x14ac:dyDescent="0.25">
      <c r="A170" s="34"/>
      <c r="B170" s="30"/>
      <c r="C170" s="25"/>
      <c r="D170" s="25"/>
      <c r="E170" s="27"/>
      <c r="F170" s="6"/>
      <c r="G170" s="6"/>
      <c r="H170" s="39"/>
      <c r="I170" s="34"/>
      <c r="J170" s="6"/>
      <c r="K170" s="51"/>
    </row>
    <row r="171" spans="1:11" ht="15.75" x14ac:dyDescent="0.25">
      <c r="A171" s="34"/>
      <c r="B171" s="30"/>
      <c r="C171" s="27"/>
      <c r="D171" s="27"/>
      <c r="E171" s="27"/>
      <c r="F171" s="6"/>
      <c r="G171" s="6"/>
      <c r="H171" s="39"/>
      <c r="I171" s="34"/>
      <c r="J171" s="6"/>
      <c r="K171" s="42"/>
    </row>
    <row r="172" spans="1:11" ht="15.75" x14ac:dyDescent="0.25">
      <c r="A172" s="34"/>
      <c r="B172" s="30"/>
      <c r="C172" s="25"/>
      <c r="D172" s="25"/>
      <c r="E172" s="27"/>
      <c r="F172" s="6"/>
      <c r="G172" s="6"/>
      <c r="H172" s="39"/>
      <c r="I172" s="34"/>
      <c r="J172" s="6"/>
      <c r="K172" s="35"/>
    </row>
    <row r="173" spans="1:11" ht="15.75" x14ac:dyDescent="0.25">
      <c r="A173" s="34"/>
      <c r="B173" s="30"/>
      <c r="C173" s="25"/>
      <c r="D173" s="25"/>
      <c r="E173" s="27"/>
      <c r="F173" s="6"/>
      <c r="G173" s="6"/>
      <c r="H173" s="39"/>
      <c r="I173" s="34"/>
      <c r="J173" s="6"/>
      <c r="K173" s="42"/>
    </row>
    <row r="174" spans="1:11" ht="15.75" x14ac:dyDescent="0.25">
      <c r="A174" s="34"/>
      <c r="B174" s="30"/>
      <c r="C174" s="25"/>
      <c r="D174" s="25"/>
      <c r="E174" s="27"/>
      <c r="F174" s="6"/>
      <c r="G174" s="6"/>
      <c r="H174" s="39"/>
      <c r="I174" s="34"/>
      <c r="J174" s="6"/>
      <c r="K174" s="42"/>
    </row>
    <row r="175" spans="1:11" ht="15.75" x14ac:dyDescent="0.25">
      <c r="A175" s="34"/>
      <c r="B175" s="30"/>
      <c r="C175" s="25"/>
      <c r="D175" s="25"/>
      <c r="E175" s="27"/>
      <c r="F175" s="6"/>
      <c r="G175" s="6"/>
      <c r="H175" s="39"/>
      <c r="I175" s="34"/>
      <c r="J175" s="6"/>
      <c r="K175" s="42"/>
    </row>
    <row r="176" spans="1:11" ht="15.75" x14ac:dyDescent="0.25">
      <c r="A176" s="34"/>
      <c r="B176" s="30"/>
      <c r="C176" s="25"/>
      <c r="D176" s="25"/>
      <c r="E176" s="27"/>
      <c r="F176" s="6"/>
      <c r="G176" s="6"/>
      <c r="H176" s="39"/>
      <c r="I176" s="34"/>
      <c r="J176" s="6"/>
      <c r="K176" s="42"/>
    </row>
    <row r="177" spans="1:11" x14ac:dyDescent="0.25">
      <c r="A177" s="34"/>
      <c r="B177" s="30"/>
      <c r="C177" s="27"/>
      <c r="D177" s="27"/>
      <c r="E177" s="27"/>
      <c r="F177" s="6"/>
      <c r="G177" s="6"/>
      <c r="H177" s="39"/>
      <c r="I177" s="34"/>
      <c r="J177" s="6"/>
      <c r="K177" s="35"/>
    </row>
    <row r="178" spans="1:11" ht="15.75" x14ac:dyDescent="0.25">
      <c r="A178" s="34"/>
      <c r="B178" s="30"/>
      <c r="C178" s="25"/>
      <c r="D178" s="25"/>
      <c r="E178" s="27"/>
      <c r="F178" s="6"/>
      <c r="G178" s="6"/>
      <c r="H178" s="39"/>
      <c r="I178" s="34"/>
      <c r="J178" s="6"/>
      <c r="K178" s="42"/>
    </row>
    <row r="179" spans="1:11" ht="15.75" x14ac:dyDescent="0.25">
      <c r="A179" s="34"/>
      <c r="B179" s="30"/>
      <c r="C179" s="27"/>
      <c r="D179" s="27"/>
      <c r="E179" s="27"/>
      <c r="F179" s="6"/>
      <c r="G179" s="6"/>
      <c r="H179" s="39"/>
      <c r="I179" s="34"/>
      <c r="J179" s="6"/>
      <c r="K179" s="57"/>
    </row>
    <row r="180" spans="1:11" ht="15.75" x14ac:dyDescent="0.25">
      <c r="A180" s="34"/>
      <c r="B180" s="30"/>
      <c r="C180" s="27"/>
      <c r="D180" s="27"/>
      <c r="E180" s="27"/>
      <c r="F180" s="6"/>
      <c r="G180" s="6"/>
      <c r="H180" s="39"/>
      <c r="I180" s="34"/>
      <c r="J180" s="6"/>
      <c r="K180" s="57"/>
    </row>
    <row r="181" spans="1:11" x14ac:dyDescent="0.25">
      <c r="A181" s="34"/>
      <c r="B181" s="30"/>
      <c r="C181" s="27"/>
      <c r="D181" s="27"/>
      <c r="E181" s="27"/>
      <c r="F181" s="6"/>
      <c r="G181" s="6"/>
      <c r="H181" s="39"/>
      <c r="I181" s="34"/>
      <c r="J181" s="6"/>
      <c r="K181" s="35"/>
    </row>
    <row r="182" spans="1:11" x14ac:dyDescent="0.25">
      <c r="A182" s="34"/>
      <c r="B182" s="30"/>
      <c r="C182" s="27"/>
      <c r="D182" s="27"/>
      <c r="E182" s="27"/>
      <c r="F182" s="6"/>
      <c r="G182" s="6"/>
      <c r="H182" s="39"/>
      <c r="I182" s="34"/>
      <c r="J182" s="6"/>
      <c r="K182" s="35"/>
    </row>
    <row r="183" spans="1:11" x14ac:dyDescent="0.25">
      <c r="A183" s="34"/>
      <c r="B183" s="30"/>
      <c r="C183" s="27"/>
      <c r="D183" s="27"/>
      <c r="E183" s="27"/>
      <c r="F183" s="6"/>
      <c r="G183" s="6"/>
      <c r="H183" s="39"/>
      <c r="I183" s="34"/>
      <c r="J183" s="6"/>
      <c r="K183" s="35"/>
    </row>
    <row r="184" spans="1:11" x14ac:dyDescent="0.25">
      <c r="A184" s="34"/>
      <c r="B184" s="30"/>
      <c r="C184" s="27"/>
      <c r="D184" s="27"/>
      <c r="E184" s="27"/>
      <c r="F184" s="6"/>
      <c r="G184" s="6"/>
      <c r="H184" s="39"/>
      <c r="I184" s="34"/>
      <c r="J184" s="6"/>
      <c r="K184" s="35"/>
    </row>
    <row r="185" spans="1:11" ht="15.75" x14ac:dyDescent="0.25">
      <c r="A185" s="34"/>
      <c r="B185" s="30"/>
      <c r="C185" s="25"/>
      <c r="D185" s="25"/>
      <c r="E185" s="27"/>
      <c r="F185" s="6"/>
      <c r="G185" s="6"/>
      <c r="H185" s="39"/>
      <c r="I185" s="34"/>
      <c r="J185" s="6"/>
      <c r="K185" s="35"/>
    </row>
    <row r="186" spans="1:11" ht="15.75" x14ac:dyDescent="0.25">
      <c r="A186" s="34"/>
      <c r="B186" s="30"/>
      <c r="C186" s="25"/>
      <c r="D186" s="25"/>
      <c r="E186" s="27"/>
      <c r="F186" s="6"/>
      <c r="G186" s="6"/>
      <c r="H186" s="39"/>
      <c r="I186" s="34"/>
      <c r="J186" s="6"/>
      <c r="K186" s="42"/>
    </row>
    <row r="187" spans="1:11" x14ac:dyDescent="0.25">
      <c r="A187" s="34"/>
      <c r="B187" s="30"/>
      <c r="C187" s="27"/>
      <c r="D187" s="27"/>
      <c r="E187" s="27"/>
      <c r="F187" s="6"/>
      <c r="G187" s="6"/>
      <c r="H187" s="39"/>
      <c r="I187" s="34"/>
      <c r="J187" s="6"/>
      <c r="K187" s="35"/>
    </row>
    <row r="188" spans="1:11" ht="15.75" x14ac:dyDescent="0.25">
      <c r="A188" s="34"/>
      <c r="B188" s="30"/>
      <c r="C188" s="25"/>
      <c r="D188" s="25"/>
      <c r="E188" s="27"/>
      <c r="F188" s="6"/>
      <c r="G188" s="6"/>
      <c r="H188" s="39"/>
      <c r="I188" s="34"/>
      <c r="J188" s="6"/>
      <c r="K188" s="35"/>
    </row>
    <row r="189" spans="1:11" ht="15.75" x14ac:dyDescent="0.25">
      <c r="A189" s="34"/>
      <c r="B189" s="30"/>
      <c r="C189" s="44"/>
      <c r="D189" s="44"/>
      <c r="E189" s="27"/>
      <c r="F189" s="6"/>
      <c r="G189" s="6"/>
      <c r="H189" s="39"/>
      <c r="I189" s="34"/>
      <c r="J189" s="6"/>
      <c r="K189" s="35"/>
    </row>
    <row r="190" spans="1:11" ht="15.75" x14ac:dyDescent="0.25">
      <c r="A190" s="34"/>
      <c r="B190" s="30"/>
      <c r="C190" s="27"/>
      <c r="D190" s="27"/>
      <c r="E190" s="27"/>
      <c r="F190" s="6"/>
      <c r="G190" s="6"/>
      <c r="H190" s="39"/>
      <c r="I190" s="34"/>
      <c r="J190" s="6"/>
      <c r="K190" s="42"/>
    </row>
    <row r="191" spans="1:11" ht="15.75" x14ac:dyDescent="0.25">
      <c r="A191" s="34"/>
      <c r="B191" s="30"/>
      <c r="C191" s="25"/>
      <c r="D191" s="25"/>
      <c r="E191" s="27"/>
      <c r="F191" s="6"/>
      <c r="G191" s="6"/>
      <c r="H191" s="39"/>
      <c r="I191" s="34"/>
      <c r="J191" s="6"/>
      <c r="K191" s="42"/>
    </row>
    <row r="192" spans="1:11" x14ac:dyDescent="0.25">
      <c r="A192" s="34"/>
      <c r="B192" s="30"/>
      <c r="C192" s="27"/>
      <c r="D192" s="27"/>
      <c r="E192" s="27"/>
      <c r="F192" s="6"/>
      <c r="G192" s="6"/>
      <c r="H192" s="39"/>
      <c r="I192" s="34"/>
      <c r="J192" s="6"/>
      <c r="K192" s="35"/>
    </row>
    <row r="193" spans="1:11" ht="15.75" x14ac:dyDescent="0.25">
      <c r="A193" s="34"/>
      <c r="B193" s="30"/>
      <c r="C193" s="27"/>
      <c r="D193" s="27"/>
      <c r="E193" s="27"/>
      <c r="F193" s="6"/>
      <c r="G193" s="6"/>
      <c r="H193" s="39"/>
      <c r="I193" s="34"/>
      <c r="J193" s="6"/>
      <c r="K193" s="42"/>
    </row>
    <row r="194" spans="1:11" x14ac:dyDescent="0.25">
      <c r="A194" s="34"/>
      <c r="B194" s="30"/>
      <c r="C194" s="27"/>
      <c r="D194" s="27"/>
      <c r="E194" s="27"/>
      <c r="F194" s="6"/>
      <c r="G194" s="6"/>
      <c r="H194" s="39"/>
      <c r="I194" s="34"/>
      <c r="J194" s="6"/>
      <c r="K194" s="35"/>
    </row>
    <row r="195" spans="1:11" ht="15.75" x14ac:dyDescent="0.25">
      <c r="A195" s="34"/>
      <c r="B195" s="30"/>
      <c r="C195" s="25"/>
      <c r="D195" s="25"/>
      <c r="E195" s="27"/>
      <c r="F195" s="6"/>
      <c r="G195" s="6"/>
      <c r="H195" s="39"/>
      <c r="I195" s="34"/>
      <c r="J195" s="6"/>
      <c r="K195" s="42"/>
    </row>
    <row r="196" spans="1:11" x14ac:dyDescent="0.25">
      <c r="A196" s="34"/>
      <c r="B196" s="30"/>
      <c r="C196" s="27"/>
      <c r="D196" s="27"/>
      <c r="E196" s="27"/>
      <c r="F196" s="6"/>
      <c r="G196" s="6"/>
      <c r="H196" s="39"/>
      <c r="I196" s="34"/>
      <c r="J196" s="6"/>
      <c r="K196" s="35"/>
    </row>
    <row r="197" spans="1:11" ht="19.5" x14ac:dyDescent="0.25">
      <c r="A197" s="78"/>
      <c r="B197" s="60"/>
      <c r="C197" s="61"/>
      <c r="D197" s="61"/>
      <c r="E197" s="61"/>
      <c r="F197" s="61"/>
      <c r="G197" s="61"/>
      <c r="H197" s="39"/>
      <c r="I197" s="34"/>
      <c r="J197" s="61"/>
      <c r="K197" s="26"/>
    </row>
    <row r="198" spans="1:11" x14ac:dyDescent="0.25">
      <c r="A198" s="34"/>
      <c r="B198" s="30"/>
      <c r="C198" s="27"/>
      <c r="D198" s="27"/>
      <c r="E198" s="27"/>
      <c r="F198" s="6"/>
      <c r="G198" s="6"/>
      <c r="H198" s="39"/>
      <c r="I198" s="34"/>
      <c r="J198" s="6"/>
      <c r="K198" s="35"/>
    </row>
    <row r="199" spans="1:11" x14ac:dyDescent="0.25">
      <c r="A199" s="34"/>
      <c r="B199" s="30"/>
      <c r="C199" s="27"/>
      <c r="D199" s="27"/>
      <c r="E199" s="27"/>
      <c r="F199" s="6"/>
      <c r="G199" s="6"/>
      <c r="H199" s="39"/>
      <c r="I199" s="34"/>
      <c r="J199" s="6"/>
      <c r="K199" s="35"/>
    </row>
    <row r="200" spans="1:11" ht="15.75" x14ac:dyDescent="0.25">
      <c r="A200" s="34"/>
      <c r="B200" s="30"/>
      <c r="C200" s="25"/>
      <c r="D200" s="25"/>
      <c r="E200" s="27"/>
      <c r="F200" s="6"/>
      <c r="G200" s="6"/>
      <c r="H200" s="39"/>
      <c r="I200" s="34"/>
      <c r="J200" s="6"/>
      <c r="K200" s="42"/>
    </row>
    <row r="201" spans="1:11" ht="15.75" x14ac:dyDescent="0.25">
      <c r="A201" s="34"/>
      <c r="B201" s="30"/>
      <c r="C201" s="25"/>
      <c r="D201" s="25"/>
      <c r="E201" s="27"/>
      <c r="F201" s="6"/>
      <c r="G201" s="6"/>
      <c r="H201" s="39"/>
      <c r="I201" s="34"/>
      <c r="J201" s="6"/>
      <c r="K201" s="42"/>
    </row>
    <row r="202" spans="1:11" ht="15.75" x14ac:dyDescent="0.25">
      <c r="A202" s="34"/>
      <c r="B202" s="30"/>
      <c r="C202" s="25"/>
      <c r="D202" s="25"/>
      <c r="E202" s="27"/>
      <c r="F202" s="6"/>
      <c r="G202" s="6"/>
      <c r="H202" s="39"/>
      <c r="I202" s="34"/>
      <c r="J202" s="6"/>
      <c r="K202" s="42"/>
    </row>
    <row r="203" spans="1:11" ht="15.75" x14ac:dyDescent="0.25">
      <c r="A203" s="34"/>
      <c r="B203" s="30"/>
      <c r="C203" s="25"/>
      <c r="D203" s="25"/>
      <c r="E203" s="27"/>
      <c r="F203" s="6"/>
      <c r="G203" s="6"/>
      <c r="H203" s="39"/>
      <c r="I203" s="34"/>
      <c r="J203" s="6"/>
      <c r="K203" s="42"/>
    </row>
    <row r="204" spans="1:11" ht="15.75" x14ac:dyDescent="0.25">
      <c r="A204" s="34"/>
      <c r="B204" s="30"/>
      <c r="C204" s="25"/>
      <c r="D204" s="25"/>
      <c r="E204" s="27"/>
      <c r="F204" s="6"/>
      <c r="G204" s="6"/>
      <c r="H204" s="39"/>
      <c r="I204" s="34"/>
      <c r="J204" s="6"/>
      <c r="K204" s="42"/>
    </row>
    <row r="205" spans="1:11" ht="15.75" x14ac:dyDescent="0.25">
      <c r="A205" s="34"/>
      <c r="B205" s="30"/>
      <c r="C205" s="25"/>
      <c r="D205" s="25"/>
      <c r="E205" s="27"/>
      <c r="F205" s="6"/>
      <c r="G205" s="6"/>
      <c r="H205" s="39"/>
      <c r="I205" s="34"/>
      <c r="J205" s="6"/>
      <c r="K205" s="57"/>
    </row>
    <row r="206" spans="1:11" ht="15.75" x14ac:dyDescent="0.25">
      <c r="A206" s="34"/>
      <c r="B206" s="30"/>
      <c r="C206" s="25"/>
      <c r="D206" s="25"/>
      <c r="E206" s="27"/>
      <c r="F206" s="6"/>
      <c r="G206" s="6"/>
      <c r="H206" s="39"/>
      <c r="I206" s="34"/>
      <c r="J206" s="6"/>
      <c r="K206" s="57"/>
    </row>
    <row r="207" spans="1:11" ht="15.75" x14ac:dyDescent="0.25">
      <c r="A207" s="73"/>
      <c r="B207" s="28"/>
      <c r="C207" s="22"/>
      <c r="E207" s="22"/>
      <c r="K207" s="57"/>
    </row>
    <row r="208" spans="1:11" x14ac:dyDescent="0.25">
      <c r="A208" s="73"/>
      <c r="B208" s="28"/>
      <c r="C208" s="22"/>
      <c r="E208" s="22"/>
    </row>
    <row r="209" spans="1:5" x14ac:dyDescent="0.25">
      <c r="A209" s="73"/>
      <c r="B209" s="28"/>
      <c r="C209" s="22"/>
      <c r="E209" s="22"/>
    </row>
    <row r="210" spans="1:5" x14ac:dyDescent="0.25">
      <c r="A210" s="73"/>
      <c r="B210" s="28"/>
      <c r="C210" s="22"/>
      <c r="E210" s="22"/>
    </row>
    <row r="211" spans="1:5" x14ac:dyDescent="0.25">
      <c r="A211" s="73"/>
      <c r="B211" s="28"/>
      <c r="C211" s="22"/>
      <c r="E211" s="22"/>
    </row>
    <row r="212" spans="1:5" x14ac:dyDescent="0.25">
      <c r="A212" s="73"/>
      <c r="B212" s="28"/>
      <c r="C212" s="22"/>
      <c r="E212" s="22"/>
    </row>
    <row r="213" spans="1:5" x14ac:dyDescent="0.25">
      <c r="A213" s="73"/>
      <c r="B213" s="28"/>
      <c r="C213" s="22"/>
      <c r="E213" s="22"/>
    </row>
    <row r="214" spans="1:5" x14ac:dyDescent="0.25">
      <c r="A214" s="73"/>
      <c r="B214" s="28"/>
      <c r="C214" s="22"/>
      <c r="E214" s="22"/>
    </row>
    <row r="215" spans="1:5" x14ac:dyDescent="0.25">
      <c r="A215" s="73"/>
      <c r="B215" s="28"/>
      <c r="C215" s="22"/>
      <c r="E215" s="22"/>
    </row>
    <row r="216" spans="1:5" x14ac:dyDescent="0.25">
      <c r="A216" s="73"/>
      <c r="B216" s="28"/>
      <c r="C216" s="22"/>
      <c r="E216" s="22"/>
    </row>
    <row r="217" spans="1:5" x14ac:dyDescent="0.25">
      <c r="A217" s="73"/>
      <c r="B217" s="28"/>
      <c r="C217" s="22"/>
      <c r="E217" s="22"/>
    </row>
    <row r="218" spans="1:5" x14ac:dyDescent="0.25">
      <c r="A218" s="73"/>
      <c r="B218" s="28"/>
      <c r="C218" s="22"/>
      <c r="E218" s="22"/>
    </row>
    <row r="219" spans="1:5" x14ac:dyDescent="0.25">
      <c r="A219" s="73"/>
      <c r="B219" s="28"/>
      <c r="C219" s="22"/>
      <c r="E219" s="22"/>
    </row>
    <row r="220" spans="1:5" x14ac:dyDescent="0.25">
      <c r="A220" s="73"/>
      <c r="B220" s="28"/>
      <c r="C220" s="22"/>
      <c r="E220" s="22"/>
    </row>
    <row r="221" spans="1:5" x14ac:dyDescent="0.25">
      <c r="A221" s="73"/>
      <c r="B221" s="28"/>
      <c r="C221" s="22"/>
      <c r="E221" s="22"/>
    </row>
    <row r="222" spans="1:5" x14ac:dyDescent="0.25">
      <c r="A222" s="73"/>
      <c r="B222" s="28"/>
      <c r="C222" s="22"/>
      <c r="E222" s="22"/>
    </row>
    <row r="223" spans="1:5" x14ac:dyDescent="0.25">
      <c r="A223" s="73"/>
      <c r="B223" s="28"/>
      <c r="C223" s="22"/>
      <c r="E223" s="22"/>
    </row>
    <row r="224" spans="1:5" x14ac:dyDescent="0.25">
      <c r="A224" s="73"/>
      <c r="B224" s="28"/>
      <c r="C224" s="22"/>
      <c r="E224" s="22"/>
    </row>
    <row r="225" spans="1:5" x14ac:dyDescent="0.25">
      <c r="A225" s="73"/>
      <c r="B225" s="28"/>
      <c r="C225" s="22"/>
      <c r="E225" s="22"/>
    </row>
    <row r="226" spans="1:5" x14ac:dyDescent="0.25">
      <c r="A226" s="73"/>
      <c r="B226" s="28"/>
      <c r="C226" s="22"/>
      <c r="E226" s="22"/>
    </row>
    <row r="227" spans="1:5" x14ac:dyDescent="0.25">
      <c r="A227" s="73"/>
      <c r="B227" s="28"/>
      <c r="C227" s="22"/>
      <c r="E227" s="22"/>
    </row>
    <row r="228" spans="1:5" x14ac:dyDescent="0.25">
      <c r="A228" s="73"/>
      <c r="B228" s="28"/>
      <c r="C228" s="22"/>
      <c r="E228" s="22"/>
    </row>
    <row r="229" spans="1:5" x14ac:dyDescent="0.25">
      <c r="A229" s="73"/>
      <c r="B229" s="28"/>
      <c r="C229" s="22"/>
      <c r="E229" s="22"/>
    </row>
    <row r="230" spans="1:5" x14ac:dyDescent="0.25">
      <c r="A230" s="73"/>
      <c r="B230" s="28"/>
      <c r="C230" s="22"/>
      <c r="E230" s="22"/>
    </row>
    <row r="231" spans="1:5" x14ac:dyDescent="0.25">
      <c r="A231" s="73"/>
      <c r="B231" s="28"/>
      <c r="C231" s="22"/>
      <c r="E231" s="22"/>
    </row>
    <row r="232" spans="1:5" x14ac:dyDescent="0.25">
      <c r="A232" s="73"/>
      <c r="B232" s="28"/>
      <c r="C232" s="22"/>
      <c r="E232" s="22"/>
    </row>
    <row r="233" spans="1:5" x14ac:dyDescent="0.25">
      <c r="A233" s="73"/>
      <c r="B233" s="28"/>
      <c r="C233" s="22"/>
      <c r="E233" s="22"/>
    </row>
    <row r="234" spans="1:5" x14ac:dyDescent="0.25">
      <c r="A234" s="73"/>
      <c r="B234" s="28"/>
      <c r="C234" s="22"/>
      <c r="E234" s="22"/>
    </row>
    <row r="235" spans="1:5" x14ac:dyDescent="0.25">
      <c r="A235" s="73"/>
      <c r="B235" s="28"/>
      <c r="C235" s="22"/>
      <c r="E235" s="22"/>
    </row>
    <row r="236" spans="1:5" x14ac:dyDescent="0.25">
      <c r="A236" s="73"/>
      <c r="B236" s="28"/>
      <c r="C236" s="22"/>
      <c r="E236" s="22"/>
    </row>
    <row r="237" spans="1:5" x14ac:dyDescent="0.25">
      <c r="A237" s="73"/>
      <c r="B237" s="28"/>
      <c r="C237" s="22"/>
      <c r="E237" s="22"/>
    </row>
    <row r="238" spans="1:5" x14ac:dyDescent="0.25">
      <c r="A238" s="73"/>
      <c r="B238" s="28"/>
      <c r="C238" s="22"/>
      <c r="E238" s="22"/>
    </row>
    <row r="239" spans="1:5" x14ac:dyDescent="0.25">
      <c r="A239" s="73"/>
      <c r="B239" s="28"/>
      <c r="C239" s="22"/>
      <c r="E239" s="22"/>
    </row>
    <row r="240" spans="1:5" x14ac:dyDescent="0.25">
      <c r="A240" s="73"/>
      <c r="B240" s="28"/>
      <c r="C240" s="22"/>
      <c r="E240" s="22"/>
    </row>
    <row r="241" spans="1:5" x14ac:dyDescent="0.25">
      <c r="A241" s="73"/>
      <c r="B241" s="28"/>
      <c r="C241" s="22"/>
      <c r="E241" s="22"/>
    </row>
    <row r="242" spans="1:5" x14ac:dyDescent="0.25">
      <c r="A242" s="73"/>
      <c r="B242" s="28"/>
      <c r="C242" s="22"/>
      <c r="E242" s="22"/>
    </row>
    <row r="243" spans="1:5" x14ac:dyDescent="0.25">
      <c r="A243" s="73"/>
      <c r="B243" s="28"/>
      <c r="C243" s="22"/>
      <c r="E243" s="22"/>
    </row>
    <row r="244" spans="1:5" x14ac:dyDescent="0.25">
      <c r="A244" s="73"/>
      <c r="B244" s="28"/>
      <c r="C244" s="22"/>
      <c r="E244" s="22"/>
    </row>
    <row r="245" spans="1:5" x14ac:dyDescent="0.25">
      <c r="A245" s="73"/>
      <c r="B245" s="28"/>
      <c r="C245" s="22"/>
      <c r="E245" s="22"/>
    </row>
    <row r="246" spans="1:5" x14ac:dyDescent="0.25">
      <c r="A246" s="73"/>
      <c r="B246" s="28"/>
      <c r="C246" s="22"/>
      <c r="E246" s="22"/>
    </row>
    <row r="247" spans="1:5" x14ac:dyDescent="0.25">
      <c r="A247" s="73"/>
      <c r="B247" s="28"/>
      <c r="C247" s="22"/>
      <c r="E247" s="22"/>
    </row>
    <row r="248" spans="1:5" x14ac:dyDescent="0.25">
      <c r="A248" s="73"/>
      <c r="B248" s="28"/>
      <c r="C248" s="22"/>
      <c r="E248" s="22"/>
    </row>
    <row r="249" spans="1:5" x14ac:dyDescent="0.25">
      <c r="A249" s="73"/>
      <c r="B249" s="28"/>
      <c r="C249" s="22"/>
      <c r="E249" s="22"/>
    </row>
    <row r="250" spans="1:5" x14ac:dyDescent="0.25">
      <c r="A250" s="73"/>
      <c r="B250" s="28"/>
      <c r="C250" s="22"/>
      <c r="E250" s="22"/>
    </row>
    <row r="251" spans="1:5" x14ac:dyDescent="0.25">
      <c r="A251" s="73"/>
      <c r="B251" s="28"/>
      <c r="C251" s="22"/>
      <c r="E251" s="22"/>
    </row>
    <row r="252" spans="1:5" x14ac:dyDescent="0.25">
      <c r="A252" s="73"/>
      <c r="B252" s="28"/>
      <c r="C252" s="22"/>
      <c r="E252" s="22"/>
    </row>
    <row r="253" spans="1:5" x14ac:dyDescent="0.25">
      <c r="A253" s="73"/>
      <c r="B253" s="28"/>
      <c r="C253" s="22"/>
      <c r="E253" s="22"/>
    </row>
    <row r="254" spans="1:5" x14ac:dyDescent="0.25">
      <c r="A254" s="73"/>
      <c r="B254" s="28"/>
      <c r="C254" s="22"/>
      <c r="E254" s="22"/>
    </row>
    <row r="255" spans="1:5" x14ac:dyDescent="0.25">
      <c r="A255" s="73"/>
      <c r="B255" s="28"/>
      <c r="C255" s="22"/>
      <c r="E255" s="22"/>
    </row>
    <row r="256" spans="1:5" x14ac:dyDescent="0.25">
      <c r="A256" s="73"/>
      <c r="B256" s="28"/>
      <c r="C256" s="22"/>
      <c r="E256" s="22"/>
    </row>
    <row r="257" spans="1:5" x14ac:dyDescent="0.25">
      <c r="A257" s="73"/>
      <c r="B257" s="28"/>
      <c r="C257" s="22"/>
      <c r="E257" s="22"/>
    </row>
    <row r="258" spans="1:5" x14ac:dyDescent="0.25">
      <c r="A258" s="73"/>
      <c r="B258" s="28"/>
      <c r="C258" s="22"/>
      <c r="E258" s="22"/>
    </row>
    <row r="259" spans="1:5" x14ac:dyDescent="0.25">
      <c r="A259" s="73"/>
      <c r="B259" s="28"/>
      <c r="C259" s="22"/>
      <c r="E259" s="22"/>
    </row>
    <row r="260" spans="1:5" x14ac:dyDescent="0.25">
      <c r="A260" s="73"/>
      <c r="B260" s="28"/>
      <c r="C260" s="22"/>
      <c r="E260" s="22"/>
    </row>
    <row r="261" spans="1:5" x14ac:dyDescent="0.25">
      <c r="A261" s="73"/>
      <c r="B261" s="28"/>
      <c r="C261" s="22"/>
      <c r="E261" s="22"/>
    </row>
    <row r="262" spans="1:5" x14ac:dyDescent="0.25">
      <c r="A262" s="73"/>
      <c r="B262" s="28"/>
      <c r="C262" s="22"/>
      <c r="E262" s="22"/>
    </row>
    <row r="263" spans="1:5" x14ac:dyDescent="0.25">
      <c r="A263" s="73"/>
      <c r="B263" s="28"/>
      <c r="C263" s="22"/>
      <c r="E263" s="22"/>
    </row>
    <row r="264" spans="1:5" x14ac:dyDescent="0.25">
      <c r="A264" s="73"/>
      <c r="B264" s="28"/>
      <c r="C264" s="22"/>
      <c r="E264" s="22"/>
    </row>
    <row r="265" spans="1:5" x14ac:dyDescent="0.25">
      <c r="A265" s="73"/>
      <c r="B265" s="28"/>
      <c r="C265" s="22"/>
      <c r="E265" s="22"/>
    </row>
    <row r="266" spans="1:5" x14ac:dyDescent="0.25">
      <c r="A266" s="73"/>
      <c r="B266" s="28"/>
      <c r="C266" s="22"/>
      <c r="E266" s="22"/>
    </row>
    <row r="267" spans="1:5" x14ac:dyDescent="0.25">
      <c r="A267" s="73"/>
      <c r="B267" s="28"/>
      <c r="C267" s="22"/>
      <c r="E267" s="22"/>
    </row>
    <row r="268" spans="1:5" x14ac:dyDescent="0.25">
      <c r="A268" s="73"/>
      <c r="B268" s="28"/>
      <c r="C268" s="22"/>
      <c r="E268" s="22"/>
    </row>
    <row r="269" spans="1:5" x14ac:dyDescent="0.25">
      <c r="A269" s="73"/>
      <c r="B269" s="28"/>
      <c r="C269" s="22"/>
      <c r="E269" s="22"/>
    </row>
    <row r="270" spans="1:5" x14ac:dyDescent="0.25">
      <c r="A270" s="73"/>
      <c r="B270" s="28"/>
      <c r="C270" s="22"/>
      <c r="E270" s="22"/>
    </row>
    <row r="271" spans="1:5" x14ac:dyDescent="0.25">
      <c r="A271" s="73"/>
      <c r="B271" s="28"/>
      <c r="C271" s="22"/>
      <c r="E271" s="22"/>
    </row>
    <row r="272" spans="1:5" x14ac:dyDescent="0.25">
      <c r="A272" s="73"/>
      <c r="B272" s="28"/>
      <c r="C272" s="22"/>
      <c r="E272" s="22"/>
    </row>
    <row r="273" spans="1:5" x14ac:dyDescent="0.25">
      <c r="A273" s="73"/>
      <c r="B273" s="28"/>
      <c r="C273" s="22"/>
      <c r="E273" s="22"/>
    </row>
    <row r="274" spans="1:5" x14ac:dyDescent="0.25">
      <c r="A274" s="73"/>
      <c r="B274" s="28"/>
      <c r="C274" s="22"/>
      <c r="E274" s="22"/>
    </row>
    <row r="275" spans="1:5" x14ac:dyDescent="0.25">
      <c r="A275" s="73"/>
      <c r="B275" s="28"/>
      <c r="C275" s="22"/>
      <c r="E275" s="22"/>
    </row>
    <row r="276" spans="1:5" x14ac:dyDescent="0.25">
      <c r="A276" s="73"/>
      <c r="B276" s="28"/>
      <c r="C276" s="22"/>
      <c r="E276" s="22"/>
    </row>
    <row r="277" spans="1:5" x14ac:dyDescent="0.25">
      <c r="A277" s="73"/>
      <c r="B277" s="28"/>
      <c r="C277" s="22"/>
      <c r="E277" s="22"/>
    </row>
    <row r="278" spans="1:5" x14ac:dyDescent="0.25">
      <c r="A278" s="73"/>
      <c r="B278" s="28"/>
      <c r="C278" s="22"/>
      <c r="E278" s="22"/>
    </row>
    <row r="279" spans="1:5" x14ac:dyDescent="0.25">
      <c r="A279" s="73"/>
      <c r="B279" s="28"/>
      <c r="C279" s="22"/>
      <c r="E279" s="22"/>
    </row>
    <row r="280" spans="1:5" x14ac:dyDescent="0.25">
      <c r="A280" s="73"/>
      <c r="B280" s="28"/>
      <c r="C280" s="22"/>
      <c r="E280" s="22"/>
    </row>
    <row r="281" spans="1:5" x14ac:dyDescent="0.25">
      <c r="A281" s="73"/>
      <c r="B281" s="28"/>
      <c r="C281" s="22"/>
      <c r="E281" s="22"/>
    </row>
    <row r="282" spans="1:5" x14ac:dyDescent="0.25">
      <c r="A282" s="73"/>
      <c r="B282" s="28"/>
      <c r="C282" s="22"/>
      <c r="E282" s="22"/>
    </row>
    <row r="283" spans="1:5" x14ac:dyDescent="0.25">
      <c r="A283" s="73"/>
      <c r="B283" s="28"/>
      <c r="C283" s="22"/>
      <c r="E283" s="22"/>
    </row>
    <row r="284" spans="1:5" x14ac:dyDescent="0.25">
      <c r="A284" s="73"/>
      <c r="B284" s="28"/>
      <c r="C284" s="22"/>
      <c r="E284" s="22"/>
    </row>
    <row r="285" spans="1:5" x14ac:dyDescent="0.25">
      <c r="A285" s="73"/>
      <c r="B285" s="28"/>
      <c r="C285" s="22"/>
      <c r="E285" s="22"/>
    </row>
    <row r="286" spans="1:5" x14ac:dyDescent="0.25">
      <c r="A286" s="73"/>
      <c r="B286" s="28"/>
      <c r="C286" s="22"/>
      <c r="E286" s="22"/>
    </row>
    <row r="287" spans="1:5" x14ac:dyDescent="0.25">
      <c r="A287" s="73"/>
      <c r="B287" s="28"/>
      <c r="C287" s="22"/>
      <c r="E287" s="22"/>
    </row>
    <row r="288" spans="1:5" x14ac:dyDescent="0.25">
      <c r="A288" s="73"/>
      <c r="B288" s="28"/>
      <c r="C288" s="22"/>
      <c r="E288" s="22"/>
    </row>
    <row r="289" spans="1:5" x14ac:dyDescent="0.25">
      <c r="A289" s="73"/>
      <c r="B289" s="28"/>
      <c r="C289" s="22"/>
      <c r="E289" s="22"/>
    </row>
    <row r="290" spans="1:5" x14ac:dyDescent="0.25">
      <c r="A290" s="73"/>
      <c r="B290" s="28"/>
      <c r="C290" s="22"/>
      <c r="E290" s="22"/>
    </row>
    <row r="291" spans="1:5" x14ac:dyDescent="0.25">
      <c r="A291" s="73"/>
      <c r="B291" s="28"/>
      <c r="C291" s="22"/>
      <c r="E291" s="22"/>
    </row>
    <row r="292" spans="1:5" x14ac:dyDescent="0.25">
      <c r="A292" s="73"/>
      <c r="B292" s="28"/>
      <c r="C292" s="22"/>
      <c r="E292" s="22"/>
    </row>
    <row r="293" spans="1:5" x14ac:dyDescent="0.25">
      <c r="A293" s="73"/>
      <c r="B293" s="28"/>
      <c r="C293" s="22"/>
      <c r="E293" s="22"/>
    </row>
    <row r="294" spans="1:5" x14ac:dyDescent="0.25">
      <c r="A294" s="73"/>
      <c r="B294" s="28"/>
      <c r="C294" s="22"/>
      <c r="E294" s="22"/>
    </row>
    <row r="295" spans="1:5" x14ac:dyDescent="0.25">
      <c r="A295" s="73"/>
      <c r="B295" s="28"/>
      <c r="C295" s="22"/>
      <c r="E295" s="22"/>
    </row>
    <row r="296" spans="1:5" x14ac:dyDescent="0.25">
      <c r="A296" s="73"/>
      <c r="B296" s="28"/>
      <c r="C296" s="22"/>
      <c r="E296" s="22"/>
    </row>
    <row r="297" spans="1:5" x14ac:dyDescent="0.25">
      <c r="A297" s="73"/>
      <c r="B297" s="28"/>
      <c r="C297" s="22"/>
      <c r="E297" s="22"/>
    </row>
    <row r="298" spans="1:5" x14ac:dyDescent="0.25">
      <c r="A298" s="73"/>
      <c r="B298" s="28"/>
      <c r="C298" s="22"/>
      <c r="E298" s="22"/>
    </row>
    <row r="299" spans="1:5" x14ac:dyDescent="0.25">
      <c r="A299" s="73"/>
      <c r="B299" s="28"/>
      <c r="C299" s="22"/>
      <c r="E299" s="22"/>
    </row>
    <row r="300" spans="1:5" x14ac:dyDescent="0.25">
      <c r="A300" s="73"/>
      <c r="B300" s="28"/>
      <c r="C300" s="22"/>
      <c r="E300" s="22"/>
    </row>
    <row r="301" spans="1:5" x14ac:dyDescent="0.25">
      <c r="A301" s="73"/>
      <c r="B301" s="28"/>
      <c r="C301" s="22"/>
      <c r="E301" s="22"/>
    </row>
    <row r="302" spans="1:5" x14ac:dyDescent="0.25">
      <c r="A302" s="73"/>
      <c r="B302" s="28"/>
      <c r="C302" s="22"/>
      <c r="E302" s="22"/>
    </row>
    <row r="303" spans="1:5" x14ac:dyDescent="0.25">
      <c r="A303" s="73"/>
      <c r="B303" s="28"/>
      <c r="C303" s="22"/>
      <c r="E303" s="22"/>
    </row>
    <row r="304" spans="1:5" x14ac:dyDescent="0.25">
      <c r="A304" s="73"/>
      <c r="B304" s="28"/>
      <c r="C304" s="22"/>
      <c r="E304" s="22"/>
    </row>
    <row r="305" spans="1:5" x14ac:dyDescent="0.25">
      <c r="A305" s="73"/>
      <c r="B305" s="28"/>
      <c r="C305" s="22"/>
      <c r="E305" s="22"/>
    </row>
    <row r="306" spans="1:5" x14ac:dyDescent="0.25">
      <c r="A306" s="73"/>
      <c r="B306" s="28"/>
      <c r="C306" s="22"/>
      <c r="E306" s="22"/>
    </row>
    <row r="307" spans="1:5" x14ac:dyDescent="0.25">
      <c r="A307" s="73"/>
      <c r="B307" s="28"/>
      <c r="C307" s="22"/>
      <c r="E307" s="22"/>
    </row>
    <row r="308" spans="1:5" x14ac:dyDescent="0.25">
      <c r="A308" s="73"/>
      <c r="B308" s="28"/>
      <c r="C308" s="22"/>
      <c r="E308" s="22"/>
    </row>
    <row r="309" spans="1:5" x14ac:dyDescent="0.25">
      <c r="A309" s="73"/>
      <c r="B309" s="28"/>
      <c r="C309" s="22"/>
      <c r="E309" s="22"/>
    </row>
    <row r="310" spans="1:5" x14ac:dyDescent="0.25">
      <c r="A310" s="73"/>
      <c r="B310" s="28"/>
      <c r="C310" s="22"/>
      <c r="E310" s="22"/>
    </row>
    <row r="311" spans="1:5" x14ac:dyDescent="0.25">
      <c r="A311" s="73"/>
      <c r="B311" s="28"/>
      <c r="C311" s="22"/>
      <c r="E311" s="22"/>
    </row>
    <row r="312" spans="1:5" x14ac:dyDescent="0.25">
      <c r="A312" s="73"/>
      <c r="B312" s="28"/>
      <c r="C312" s="22"/>
      <c r="E312" s="22"/>
    </row>
    <row r="313" spans="1:5" x14ac:dyDescent="0.25">
      <c r="A313" s="73"/>
      <c r="B313" s="28"/>
      <c r="C313" s="22"/>
      <c r="E313" s="22"/>
    </row>
    <row r="314" spans="1:5" x14ac:dyDescent="0.25">
      <c r="A314" s="73"/>
      <c r="B314" s="28"/>
      <c r="C314" s="22"/>
      <c r="E314" s="22"/>
    </row>
    <row r="315" spans="1:5" x14ac:dyDescent="0.25">
      <c r="A315" s="73"/>
      <c r="B315" s="28"/>
      <c r="C315" s="22"/>
      <c r="E315" s="22"/>
    </row>
    <row r="316" spans="1:5" x14ac:dyDescent="0.25">
      <c r="A316" s="73"/>
      <c r="B316" s="28"/>
      <c r="C316" s="22"/>
      <c r="E316" s="22"/>
    </row>
    <row r="317" spans="1:5" x14ac:dyDescent="0.25">
      <c r="A317" s="73"/>
      <c r="B317" s="28"/>
      <c r="C317" s="22"/>
      <c r="E317" s="22"/>
    </row>
    <row r="318" spans="1:5" x14ac:dyDescent="0.25">
      <c r="A318" s="73"/>
      <c r="B318" s="28"/>
      <c r="C318" s="22"/>
      <c r="E318" s="22"/>
    </row>
    <row r="319" spans="1:5" x14ac:dyDescent="0.25">
      <c r="A319" s="73"/>
      <c r="B319" s="28"/>
      <c r="C319" s="22"/>
      <c r="E319" s="22"/>
    </row>
    <row r="320" spans="1:5" x14ac:dyDescent="0.25">
      <c r="A320" s="73"/>
      <c r="B320" s="28"/>
      <c r="C320" s="22"/>
      <c r="E320" s="22"/>
    </row>
    <row r="321" spans="1:5" x14ac:dyDescent="0.25">
      <c r="A321" s="73"/>
      <c r="B321" s="28"/>
      <c r="C321" s="22"/>
      <c r="E321" s="22"/>
    </row>
    <row r="322" spans="1:5" x14ac:dyDescent="0.25">
      <c r="A322" s="73"/>
      <c r="B322" s="28"/>
      <c r="C322" s="22"/>
      <c r="E322" s="22"/>
    </row>
    <row r="323" spans="1:5" x14ac:dyDescent="0.25">
      <c r="A323" s="73"/>
      <c r="B323" s="28"/>
      <c r="C323" s="22"/>
      <c r="E323" s="22"/>
    </row>
    <row r="324" spans="1:5" x14ac:dyDescent="0.25">
      <c r="A324" s="73"/>
      <c r="B324" s="28"/>
      <c r="C324" s="22"/>
      <c r="E324" s="22"/>
    </row>
    <row r="325" spans="1:5" x14ac:dyDescent="0.25">
      <c r="A325" s="73"/>
      <c r="B325" s="28"/>
      <c r="C325" s="22"/>
      <c r="E325" s="22"/>
    </row>
    <row r="326" spans="1:5" x14ac:dyDescent="0.25">
      <c r="A326" s="73"/>
      <c r="B326" s="28"/>
      <c r="C326" s="22"/>
      <c r="E326" s="22"/>
    </row>
    <row r="327" spans="1:5" x14ac:dyDescent="0.25">
      <c r="A327" s="73"/>
      <c r="B327" s="28"/>
      <c r="C327" s="22"/>
      <c r="E327" s="22"/>
    </row>
    <row r="328" spans="1:5" x14ac:dyDescent="0.25">
      <c r="A328" s="73"/>
      <c r="B328" s="28"/>
      <c r="C328" s="22"/>
      <c r="E328" s="22"/>
    </row>
    <row r="329" spans="1:5" x14ac:dyDescent="0.25">
      <c r="A329" s="73"/>
      <c r="B329" s="28"/>
      <c r="C329" s="22"/>
      <c r="E329" s="22"/>
    </row>
    <row r="330" spans="1:5" x14ac:dyDescent="0.25">
      <c r="A330" s="73"/>
      <c r="B330" s="28"/>
      <c r="C330" s="22"/>
      <c r="E330" s="22"/>
    </row>
    <row r="331" spans="1:5" x14ac:dyDescent="0.25">
      <c r="A331" s="73"/>
      <c r="B331" s="28"/>
      <c r="C331" s="22"/>
      <c r="E331" s="22"/>
    </row>
    <row r="332" spans="1:5" x14ac:dyDescent="0.25">
      <c r="A332" s="73"/>
      <c r="B332" s="28"/>
      <c r="C332" s="22"/>
      <c r="E332" s="22"/>
    </row>
    <row r="333" spans="1:5" x14ac:dyDescent="0.25">
      <c r="A333" s="73"/>
      <c r="B333" s="28"/>
      <c r="C333" s="22"/>
      <c r="E333" s="22"/>
    </row>
    <row r="334" spans="1:5" x14ac:dyDescent="0.25">
      <c r="A334" s="73"/>
      <c r="B334" s="28"/>
      <c r="C334" s="22"/>
      <c r="E334" s="22"/>
    </row>
    <row r="335" spans="1:5" x14ac:dyDescent="0.25">
      <c r="A335" s="73"/>
      <c r="B335" s="28"/>
      <c r="C335" s="22"/>
      <c r="E335" s="22"/>
    </row>
    <row r="336" spans="1:5" x14ac:dyDescent="0.25">
      <c r="A336" s="73"/>
      <c r="B336" s="28"/>
      <c r="C336" s="22"/>
      <c r="E336" s="22"/>
    </row>
    <row r="337" spans="1:5" x14ac:dyDescent="0.25">
      <c r="A337" s="73"/>
      <c r="B337" s="28"/>
      <c r="C337" s="22"/>
      <c r="E337" s="22"/>
    </row>
    <row r="338" spans="1:5" x14ac:dyDescent="0.25">
      <c r="A338" s="73"/>
      <c r="B338" s="28"/>
      <c r="C338" s="22"/>
      <c r="E338" s="22"/>
    </row>
    <row r="339" spans="1:5" x14ac:dyDescent="0.25">
      <c r="A339" s="73"/>
      <c r="B339" s="28"/>
      <c r="C339" s="22"/>
      <c r="E339" s="22"/>
    </row>
    <row r="340" spans="1:5" x14ac:dyDescent="0.25">
      <c r="A340" s="73"/>
      <c r="B340" s="28"/>
      <c r="C340" s="22"/>
      <c r="E340" s="22"/>
    </row>
    <row r="341" spans="1:5" x14ac:dyDescent="0.25">
      <c r="A341" s="73"/>
      <c r="B341" s="28"/>
      <c r="C341" s="22"/>
      <c r="E341" s="22"/>
    </row>
    <row r="342" spans="1:5" x14ac:dyDescent="0.25">
      <c r="A342" s="73"/>
      <c r="B342" s="28"/>
      <c r="C342" s="22"/>
      <c r="E342" s="22"/>
    </row>
    <row r="343" spans="1:5" x14ac:dyDescent="0.25">
      <c r="A343" s="73"/>
      <c r="B343" s="28"/>
      <c r="C343" s="22"/>
      <c r="E343" s="22"/>
    </row>
    <row r="344" spans="1:5" x14ac:dyDescent="0.25">
      <c r="A344" s="73"/>
      <c r="B344" s="28"/>
      <c r="C344" s="22"/>
      <c r="E344" s="22"/>
    </row>
    <row r="345" spans="1:5" x14ac:dyDescent="0.25">
      <c r="A345" s="73"/>
      <c r="B345" s="28"/>
      <c r="C345" s="22"/>
      <c r="E345" s="22"/>
    </row>
    <row r="346" spans="1:5" x14ac:dyDescent="0.25">
      <c r="A346" s="73"/>
      <c r="B346" s="28"/>
      <c r="C346" s="22"/>
      <c r="E346" s="22"/>
    </row>
    <row r="347" spans="1:5" x14ac:dyDescent="0.25">
      <c r="A347" s="73"/>
      <c r="B347" s="28"/>
      <c r="C347" s="22"/>
      <c r="E347" s="22"/>
    </row>
    <row r="348" spans="1:5" x14ac:dyDescent="0.25">
      <c r="A348" s="73"/>
      <c r="B348" s="28"/>
      <c r="C348" s="22"/>
      <c r="E348" s="22"/>
    </row>
    <row r="349" spans="1:5" x14ac:dyDescent="0.25">
      <c r="A349" s="73"/>
      <c r="B349" s="28"/>
      <c r="C349" s="22"/>
      <c r="E349" s="22"/>
    </row>
    <row r="350" spans="1:5" x14ac:dyDescent="0.25">
      <c r="A350" s="73"/>
      <c r="B350" s="28"/>
      <c r="C350" s="22"/>
      <c r="E350" s="22"/>
    </row>
    <row r="351" spans="1:5" x14ac:dyDescent="0.25">
      <c r="A351" s="73"/>
      <c r="B351" s="28"/>
      <c r="C351" s="22"/>
      <c r="E351" s="22"/>
    </row>
    <row r="352" spans="1:5" x14ac:dyDescent="0.25">
      <c r="A352" s="73"/>
      <c r="B352" s="28"/>
      <c r="C352" s="22"/>
      <c r="E352" s="22"/>
    </row>
    <row r="353" spans="1:5" x14ac:dyDescent="0.25">
      <c r="A353" s="73"/>
      <c r="B353" s="28"/>
      <c r="C353" s="22"/>
      <c r="E353" s="22"/>
    </row>
    <row r="354" spans="1:5" x14ac:dyDescent="0.25">
      <c r="A354" s="73"/>
      <c r="B354" s="28"/>
      <c r="C354" s="22"/>
      <c r="E354" s="22"/>
    </row>
    <row r="355" spans="1:5" x14ac:dyDescent="0.25">
      <c r="A355" s="73"/>
      <c r="B355" s="28"/>
      <c r="C355" s="22"/>
      <c r="E355" s="22"/>
    </row>
    <row r="356" spans="1:5" x14ac:dyDescent="0.25">
      <c r="A356" s="73"/>
      <c r="B356" s="28"/>
      <c r="C356" s="22"/>
      <c r="E356" s="22"/>
    </row>
    <row r="357" spans="1:5" x14ac:dyDescent="0.25">
      <c r="A357" s="73"/>
      <c r="B357" s="28"/>
      <c r="C357" s="22"/>
      <c r="E357" s="22"/>
    </row>
    <row r="358" spans="1:5" x14ac:dyDescent="0.25">
      <c r="A358" s="73"/>
      <c r="B358" s="28"/>
      <c r="C358" s="22"/>
      <c r="E358" s="22"/>
    </row>
    <row r="359" spans="1:5" x14ac:dyDescent="0.25">
      <c r="A359" s="73"/>
      <c r="B359" s="28"/>
      <c r="C359" s="22"/>
      <c r="E359" s="22"/>
    </row>
    <row r="360" spans="1:5" x14ac:dyDescent="0.25">
      <c r="A360" s="73"/>
      <c r="B360" s="28"/>
      <c r="C360" s="22"/>
      <c r="E360" s="22"/>
    </row>
    <row r="361" spans="1:5" x14ac:dyDescent="0.25">
      <c r="A361" s="73"/>
      <c r="B361" s="28"/>
      <c r="C361" s="22"/>
      <c r="E361" s="22"/>
    </row>
    <row r="362" spans="1:5" x14ac:dyDescent="0.25">
      <c r="A362" s="73"/>
      <c r="B362" s="28"/>
      <c r="C362" s="22"/>
      <c r="E362" s="22"/>
    </row>
    <row r="363" spans="1:5" x14ac:dyDescent="0.25">
      <c r="A363" s="73"/>
      <c r="B363" s="28"/>
      <c r="C363" s="22"/>
      <c r="E363" s="22"/>
    </row>
    <row r="364" spans="1:5" x14ac:dyDescent="0.25">
      <c r="A364" s="73"/>
      <c r="B364" s="28"/>
      <c r="C364" s="22"/>
      <c r="E364" s="22"/>
    </row>
    <row r="365" spans="1:5" x14ac:dyDescent="0.25">
      <c r="A365" s="73"/>
      <c r="B365" s="28"/>
      <c r="C365" s="22"/>
      <c r="E365" s="22"/>
    </row>
    <row r="366" spans="1:5" x14ac:dyDescent="0.25">
      <c r="A366" s="73"/>
      <c r="B366" s="28"/>
      <c r="C366" s="22"/>
      <c r="E366" s="22"/>
    </row>
    <row r="367" spans="1:5" x14ac:dyDescent="0.25">
      <c r="A367" s="73"/>
      <c r="B367" s="28"/>
      <c r="C367" s="22"/>
      <c r="E367" s="22"/>
    </row>
    <row r="368" spans="1:5" x14ac:dyDescent="0.25">
      <c r="A368" s="73"/>
      <c r="B368" s="28"/>
      <c r="C368" s="22"/>
      <c r="E368" s="22"/>
    </row>
    <row r="369" spans="1:5" x14ac:dyDescent="0.25">
      <c r="A369" s="73"/>
      <c r="B369" s="28"/>
      <c r="C369" s="22"/>
      <c r="E369" s="22"/>
    </row>
    <row r="370" spans="1:5" x14ac:dyDescent="0.25">
      <c r="A370" s="73"/>
      <c r="B370" s="28"/>
      <c r="C370" s="22"/>
      <c r="E370" s="22"/>
    </row>
    <row r="371" spans="1:5" x14ac:dyDescent="0.25">
      <c r="A371" s="73"/>
      <c r="B371" s="28"/>
      <c r="C371" s="22"/>
      <c r="E371" s="22"/>
    </row>
    <row r="372" spans="1:5" x14ac:dyDescent="0.25">
      <c r="A372" s="73"/>
      <c r="B372" s="28"/>
      <c r="C372" s="22"/>
      <c r="E372" s="22"/>
    </row>
    <row r="373" spans="1:5" x14ac:dyDescent="0.25">
      <c r="A373" s="73"/>
      <c r="B373" s="28"/>
      <c r="C373" s="22"/>
      <c r="E373" s="22"/>
    </row>
    <row r="374" spans="1:5" x14ac:dyDescent="0.25">
      <c r="A374" s="73"/>
      <c r="B374" s="28"/>
      <c r="C374" s="22"/>
      <c r="E374" s="22"/>
    </row>
    <row r="375" spans="1:5" x14ac:dyDescent="0.25">
      <c r="A375" s="73"/>
      <c r="B375" s="28"/>
      <c r="C375" s="22"/>
      <c r="E375" s="22"/>
    </row>
    <row r="376" spans="1:5" x14ac:dyDescent="0.25">
      <c r="A376" s="73"/>
      <c r="B376" s="28"/>
      <c r="C376" s="22"/>
      <c r="E376" s="22"/>
    </row>
    <row r="377" spans="1:5" x14ac:dyDescent="0.25">
      <c r="A377" s="73"/>
      <c r="B377" s="28"/>
      <c r="C377" s="22"/>
      <c r="E377" s="22"/>
    </row>
    <row r="378" spans="1:5" x14ac:dyDescent="0.25">
      <c r="A378" s="73"/>
      <c r="B378" s="28"/>
      <c r="C378" s="22"/>
      <c r="E378" s="22"/>
    </row>
    <row r="379" spans="1:5" x14ac:dyDescent="0.25">
      <c r="A379" s="73"/>
      <c r="B379" s="28"/>
      <c r="C379" s="22"/>
      <c r="E379" s="22"/>
    </row>
    <row r="380" spans="1:5" x14ac:dyDescent="0.25">
      <c r="A380" s="73"/>
      <c r="B380" s="28"/>
      <c r="C380" s="22"/>
      <c r="E380" s="22"/>
    </row>
    <row r="381" spans="1:5" x14ac:dyDescent="0.25">
      <c r="A381" s="73"/>
      <c r="B381" s="28"/>
      <c r="C381" s="22"/>
      <c r="E381" s="22"/>
    </row>
    <row r="382" spans="1:5" x14ac:dyDescent="0.25">
      <c r="A382" s="73"/>
      <c r="B382" s="28"/>
      <c r="C382" s="22"/>
      <c r="E382" s="22"/>
    </row>
    <row r="383" spans="1:5" x14ac:dyDescent="0.25">
      <c r="A383" s="73"/>
      <c r="B383" s="28"/>
      <c r="C383" s="22"/>
      <c r="E383" s="22"/>
    </row>
    <row r="384" spans="1:5" x14ac:dyDescent="0.25">
      <c r="A384" s="73"/>
      <c r="B384" s="28"/>
      <c r="C384" s="22"/>
      <c r="E384" s="22"/>
    </row>
    <row r="385" spans="1:5" x14ac:dyDescent="0.25">
      <c r="A385" s="73"/>
      <c r="B385" s="28"/>
      <c r="C385" s="22"/>
      <c r="E385" s="22"/>
    </row>
    <row r="386" spans="1:5" x14ac:dyDescent="0.25">
      <c r="A386" s="73"/>
      <c r="B386" s="28"/>
      <c r="C386" s="22"/>
      <c r="E386" s="22"/>
    </row>
    <row r="387" spans="1:5" x14ac:dyDescent="0.25">
      <c r="A387" s="73"/>
      <c r="B387" s="28"/>
      <c r="C387" s="22"/>
      <c r="E387" s="22"/>
    </row>
    <row r="388" spans="1:5" x14ac:dyDescent="0.25">
      <c r="A388" s="73"/>
      <c r="B388" s="28"/>
      <c r="C388" s="22"/>
      <c r="E388" s="22"/>
    </row>
    <row r="389" spans="1:5" x14ac:dyDescent="0.25">
      <c r="A389" s="73"/>
      <c r="B389" s="28"/>
      <c r="C389" s="22"/>
      <c r="E389" s="22"/>
    </row>
    <row r="390" spans="1:5" x14ac:dyDescent="0.25">
      <c r="A390" s="73"/>
      <c r="B390" s="28"/>
      <c r="C390" s="22"/>
      <c r="E390" s="22"/>
    </row>
    <row r="391" spans="1:5" x14ac:dyDescent="0.25">
      <c r="A391" s="73"/>
      <c r="B391" s="28"/>
      <c r="C391" s="22"/>
      <c r="E391" s="22"/>
    </row>
    <row r="392" spans="1:5" x14ac:dyDescent="0.25">
      <c r="A392" s="73"/>
      <c r="B392" s="28"/>
      <c r="C392" s="22"/>
      <c r="E392" s="22"/>
    </row>
    <row r="393" spans="1:5" x14ac:dyDescent="0.25">
      <c r="A393" s="73"/>
      <c r="B393" s="28"/>
      <c r="C393" s="22"/>
      <c r="E393" s="22"/>
    </row>
    <row r="394" spans="1:5" x14ac:dyDescent="0.25">
      <c r="A394" s="73"/>
      <c r="B394" s="28"/>
      <c r="C394" s="22"/>
      <c r="E394" s="22"/>
    </row>
    <row r="395" spans="1:5" x14ac:dyDescent="0.25">
      <c r="A395" s="73"/>
      <c r="B395" s="28"/>
      <c r="C395" s="22"/>
      <c r="E395" s="22"/>
    </row>
    <row r="396" spans="1:5" x14ac:dyDescent="0.25">
      <c r="A396" s="73"/>
      <c r="B396" s="28"/>
      <c r="C396" s="22"/>
      <c r="E396" s="22"/>
    </row>
    <row r="397" spans="1:5" x14ac:dyDescent="0.25">
      <c r="A397" s="73"/>
      <c r="B397" s="28"/>
      <c r="C397" s="22"/>
      <c r="E397" s="22"/>
    </row>
    <row r="398" spans="1:5" x14ac:dyDescent="0.25">
      <c r="A398" s="73"/>
      <c r="B398" s="28"/>
      <c r="C398" s="22"/>
      <c r="E398" s="22"/>
    </row>
    <row r="399" spans="1:5" x14ac:dyDescent="0.25">
      <c r="A399" s="73"/>
      <c r="B399" s="28"/>
      <c r="C399" s="22"/>
      <c r="E399" s="22"/>
    </row>
    <row r="400" spans="1:5" x14ac:dyDescent="0.25">
      <c r="A400" s="73"/>
      <c r="B400" s="28"/>
      <c r="C400" s="22"/>
      <c r="E400" s="22"/>
    </row>
    <row r="401" spans="1:5" x14ac:dyDescent="0.25">
      <c r="A401" s="73"/>
      <c r="B401" s="28"/>
      <c r="C401" s="22"/>
      <c r="E401" s="22"/>
    </row>
    <row r="402" spans="1:5" x14ac:dyDescent="0.25">
      <c r="A402" s="73"/>
      <c r="B402" s="28"/>
      <c r="C402" s="22"/>
      <c r="E402" s="22"/>
    </row>
    <row r="403" spans="1:5" x14ac:dyDescent="0.25">
      <c r="A403" s="73"/>
      <c r="B403" s="28"/>
      <c r="C403" s="22"/>
      <c r="E403" s="22"/>
    </row>
    <row r="404" spans="1:5" x14ac:dyDescent="0.25">
      <c r="A404" s="73"/>
      <c r="B404" s="28"/>
      <c r="C404" s="22"/>
      <c r="E404" s="22"/>
    </row>
    <row r="405" spans="1:5" x14ac:dyDescent="0.25">
      <c r="A405" s="73"/>
      <c r="B405" s="28"/>
      <c r="C405" s="22"/>
      <c r="E405" s="22"/>
    </row>
    <row r="406" spans="1:5" x14ac:dyDescent="0.25">
      <c r="A406" s="73"/>
      <c r="B406" s="28"/>
      <c r="C406" s="22"/>
      <c r="E406" s="22"/>
    </row>
    <row r="407" spans="1:5" x14ac:dyDescent="0.25">
      <c r="A407" s="73"/>
      <c r="B407" s="28"/>
      <c r="C407" s="22"/>
      <c r="E407" s="22"/>
    </row>
    <row r="408" spans="1:5" x14ac:dyDescent="0.25">
      <c r="A408" s="73"/>
      <c r="B408" s="28"/>
      <c r="C408" s="22"/>
      <c r="E408" s="22"/>
    </row>
    <row r="409" spans="1:5" x14ac:dyDescent="0.25">
      <c r="A409" s="73"/>
      <c r="B409" s="28"/>
      <c r="C409" s="22"/>
      <c r="E409" s="22"/>
    </row>
    <row r="410" spans="1:5" x14ac:dyDescent="0.25">
      <c r="A410" s="73"/>
      <c r="B410" s="28"/>
      <c r="C410" s="22"/>
      <c r="E410" s="22"/>
    </row>
    <row r="411" spans="1:5" x14ac:dyDescent="0.25">
      <c r="A411" s="73"/>
      <c r="B411" s="28"/>
      <c r="C411" s="22"/>
      <c r="E411" s="22"/>
    </row>
    <row r="412" spans="1:5" x14ac:dyDescent="0.25">
      <c r="A412" s="73"/>
      <c r="B412" s="28"/>
      <c r="C412" s="22"/>
      <c r="E412" s="22"/>
    </row>
    <row r="413" spans="1:5" x14ac:dyDescent="0.25">
      <c r="A413" s="73"/>
      <c r="B413" s="28"/>
      <c r="C413" s="22"/>
      <c r="E413" s="22"/>
    </row>
    <row r="414" spans="1:5" x14ac:dyDescent="0.25">
      <c r="A414" s="73"/>
      <c r="B414" s="28"/>
      <c r="C414" s="22"/>
      <c r="E414" s="22"/>
    </row>
    <row r="415" spans="1:5" x14ac:dyDescent="0.25">
      <c r="A415" s="73"/>
      <c r="B415" s="28"/>
      <c r="C415" s="22"/>
      <c r="E415" s="22"/>
    </row>
    <row r="416" spans="1:5" x14ac:dyDescent="0.25">
      <c r="A416" s="73"/>
      <c r="B416" s="28"/>
      <c r="C416" s="22"/>
      <c r="E416" s="22"/>
    </row>
    <row r="417" spans="1:5" x14ac:dyDescent="0.25">
      <c r="A417" s="73"/>
      <c r="B417" s="28"/>
      <c r="C417" s="22"/>
      <c r="E417" s="22"/>
    </row>
    <row r="418" spans="1:5" x14ac:dyDescent="0.25">
      <c r="A418" s="73"/>
      <c r="B418" s="28"/>
      <c r="C418" s="22"/>
      <c r="E418" s="22"/>
    </row>
    <row r="419" spans="1:5" x14ac:dyDescent="0.25">
      <c r="A419" s="73"/>
      <c r="B419" s="28"/>
      <c r="C419" s="22"/>
      <c r="E419" s="22"/>
    </row>
    <row r="420" spans="1:5" x14ac:dyDescent="0.25">
      <c r="A420" s="73"/>
      <c r="B420" s="28"/>
      <c r="C420" s="22"/>
      <c r="E420" s="22"/>
    </row>
    <row r="421" spans="1:5" x14ac:dyDescent="0.25">
      <c r="A421" s="73"/>
      <c r="B421" s="28"/>
      <c r="C421" s="22"/>
      <c r="E421" s="22"/>
    </row>
    <row r="422" spans="1:5" x14ac:dyDescent="0.25">
      <c r="A422" s="73"/>
      <c r="B422" s="28"/>
      <c r="C422" s="22"/>
      <c r="E422" s="22"/>
    </row>
    <row r="423" spans="1:5" x14ac:dyDescent="0.25">
      <c r="A423" s="73"/>
      <c r="B423" s="28"/>
      <c r="C423" s="22"/>
      <c r="E423" s="22"/>
    </row>
    <row r="424" spans="1:5" x14ac:dyDescent="0.25">
      <c r="A424" s="73"/>
      <c r="B424" s="28"/>
      <c r="C424" s="22"/>
      <c r="E424" s="22"/>
    </row>
    <row r="425" spans="1:5" x14ac:dyDescent="0.25">
      <c r="A425" s="73"/>
      <c r="B425" s="28"/>
      <c r="C425" s="22"/>
      <c r="E425" s="22"/>
    </row>
    <row r="426" spans="1:5" x14ac:dyDescent="0.25">
      <c r="A426" s="73"/>
      <c r="B426" s="28"/>
      <c r="C426" s="22"/>
      <c r="E426" s="22"/>
    </row>
    <row r="427" spans="1:5" x14ac:dyDescent="0.25">
      <c r="A427" s="73"/>
      <c r="B427" s="28"/>
      <c r="C427" s="22"/>
      <c r="E427" s="22"/>
    </row>
    <row r="428" spans="1:5" x14ac:dyDescent="0.25">
      <c r="A428" s="73"/>
      <c r="B428" s="28"/>
      <c r="C428" s="22"/>
      <c r="E428" s="22"/>
    </row>
    <row r="429" spans="1:5" x14ac:dyDescent="0.25">
      <c r="A429" s="73"/>
      <c r="B429" s="28"/>
      <c r="C429" s="22"/>
      <c r="E429" s="22"/>
    </row>
    <row r="430" spans="1:5" x14ac:dyDescent="0.25">
      <c r="A430" s="73"/>
      <c r="B430" s="28"/>
      <c r="C430" s="22"/>
      <c r="E430" s="22"/>
    </row>
    <row r="431" spans="1:5" x14ac:dyDescent="0.25">
      <c r="A431" s="73"/>
      <c r="B431" s="28"/>
      <c r="C431" s="22"/>
      <c r="E431" s="22"/>
    </row>
    <row r="432" spans="1:5" x14ac:dyDescent="0.25">
      <c r="A432" s="73"/>
      <c r="B432" s="28"/>
      <c r="C432" s="22"/>
      <c r="E432" s="22"/>
    </row>
    <row r="433" spans="1:5" x14ac:dyDescent="0.25">
      <c r="A433" s="73"/>
      <c r="B433" s="28"/>
      <c r="C433" s="22"/>
      <c r="E433" s="22"/>
    </row>
    <row r="434" spans="1:5" x14ac:dyDescent="0.25">
      <c r="A434" s="73"/>
      <c r="B434" s="28"/>
      <c r="C434" s="22"/>
      <c r="E434" s="22"/>
    </row>
    <row r="435" spans="1:5" x14ac:dyDescent="0.25">
      <c r="A435" s="73"/>
      <c r="B435" s="28"/>
      <c r="C435" s="22"/>
      <c r="E435" s="22"/>
    </row>
    <row r="436" spans="1:5" x14ac:dyDescent="0.25">
      <c r="A436" s="73"/>
      <c r="B436" s="28"/>
      <c r="C436" s="22"/>
      <c r="E436" s="22"/>
    </row>
    <row r="437" spans="1:5" x14ac:dyDescent="0.25">
      <c r="A437" s="73"/>
      <c r="B437" s="28"/>
      <c r="C437" s="22"/>
      <c r="E437" s="22"/>
    </row>
    <row r="438" spans="1:5" x14ac:dyDescent="0.25">
      <c r="A438" s="73"/>
      <c r="B438" s="28"/>
      <c r="C438" s="22"/>
      <c r="E438" s="22"/>
    </row>
    <row r="439" spans="1:5" x14ac:dyDescent="0.25">
      <c r="A439" s="73"/>
      <c r="B439" s="28"/>
      <c r="C439" s="22"/>
      <c r="E439" s="22"/>
    </row>
    <row r="440" spans="1:5" x14ac:dyDescent="0.25">
      <c r="A440" s="73"/>
      <c r="B440" s="28"/>
      <c r="C440" s="22"/>
      <c r="E440" s="22"/>
    </row>
    <row r="441" spans="1:5" x14ac:dyDescent="0.25">
      <c r="A441" s="73"/>
      <c r="B441" s="28"/>
      <c r="C441" s="22"/>
      <c r="E441" s="22"/>
    </row>
    <row r="442" spans="1:5" x14ac:dyDescent="0.25">
      <c r="A442" s="73"/>
      <c r="B442" s="28"/>
      <c r="C442" s="22"/>
      <c r="E442" s="22"/>
    </row>
    <row r="443" spans="1:5" x14ac:dyDescent="0.25">
      <c r="A443" s="73"/>
      <c r="B443" s="28"/>
      <c r="C443" s="22"/>
      <c r="E443" s="22"/>
    </row>
    <row r="444" spans="1:5" x14ac:dyDescent="0.25">
      <c r="A444" s="73"/>
      <c r="B444" s="28"/>
      <c r="C444" s="22"/>
      <c r="E444" s="22"/>
    </row>
    <row r="445" spans="1:5" x14ac:dyDescent="0.25">
      <c r="A445" s="73"/>
      <c r="B445" s="28"/>
      <c r="C445" s="22"/>
      <c r="E445" s="22"/>
    </row>
    <row r="446" spans="1:5" x14ac:dyDescent="0.25">
      <c r="A446" s="73"/>
      <c r="B446" s="28"/>
      <c r="C446" s="22"/>
      <c r="E446" s="22"/>
    </row>
    <row r="447" spans="1:5" x14ac:dyDescent="0.25">
      <c r="A447" s="73"/>
      <c r="B447" s="28"/>
      <c r="C447" s="22"/>
      <c r="E447" s="22"/>
    </row>
    <row r="448" spans="1:5" x14ac:dyDescent="0.25">
      <c r="A448" s="73"/>
      <c r="B448" s="28"/>
      <c r="C448" s="22"/>
      <c r="E448" s="22"/>
    </row>
    <row r="449" spans="1:5" x14ac:dyDescent="0.25">
      <c r="A449" s="73"/>
      <c r="B449" s="28"/>
      <c r="C449" s="22"/>
      <c r="E449" s="22"/>
    </row>
    <row r="450" spans="1:5" x14ac:dyDescent="0.25">
      <c r="A450" s="73"/>
      <c r="B450" s="28"/>
      <c r="C450" s="22"/>
      <c r="E450" s="22"/>
    </row>
    <row r="451" spans="1:5" x14ac:dyDescent="0.25">
      <c r="A451" s="73"/>
      <c r="B451" s="28"/>
      <c r="C451" s="22"/>
      <c r="E451" s="22"/>
    </row>
    <row r="452" spans="1:5" x14ac:dyDescent="0.25">
      <c r="A452" s="73"/>
      <c r="B452" s="28"/>
      <c r="C452" s="22"/>
      <c r="E452" s="22"/>
    </row>
    <row r="453" spans="1:5" x14ac:dyDescent="0.25">
      <c r="A453" s="73"/>
      <c r="B453" s="28"/>
      <c r="C453" s="22"/>
      <c r="E453" s="22"/>
    </row>
    <row r="454" spans="1:5" x14ac:dyDescent="0.25">
      <c r="A454" s="73"/>
      <c r="B454" s="28"/>
      <c r="C454" s="22"/>
      <c r="E454" s="22"/>
    </row>
    <row r="455" spans="1:5" x14ac:dyDescent="0.25">
      <c r="A455" s="73"/>
      <c r="B455" s="28"/>
      <c r="C455" s="22"/>
      <c r="E455" s="22"/>
    </row>
    <row r="456" spans="1:5" x14ac:dyDescent="0.25">
      <c r="A456" s="73"/>
      <c r="B456" s="28"/>
      <c r="C456" s="22"/>
      <c r="E456" s="22"/>
    </row>
    <row r="457" spans="1:5" x14ac:dyDescent="0.25">
      <c r="A457" s="73"/>
      <c r="B457" s="28"/>
      <c r="C457" s="22"/>
      <c r="E457" s="22"/>
    </row>
    <row r="458" spans="1:5" x14ac:dyDescent="0.25">
      <c r="A458" s="73"/>
      <c r="B458" s="28"/>
      <c r="C458" s="22"/>
      <c r="E458" s="22"/>
    </row>
    <row r="459" spans="1:5" x14ac:dyDescent="0.25">
      <c r="A459" s="73"/>
      <c r="B459" s="28"/>
      <c r="C459" s="22"/>
      <c r="E459" s="22"/>
    </row>
    <row r="460" spans="1:5" x14ac:dyDescent="0.25">
      <c r="A460" s="73"/>
      <c r="B460" s="28"/>
      <c r="C460" s="22"/>
      <c r="E460" s="22"/>
    </row>
    <row r="461" spans="1:5" x14ac:dyDescent="0.25">
      <c r="A461" s="73"/>
      <c r="B461" s="28"/>
      <c r="C461" s="22"/>
      <c r="E461" s="22"/>
    </row>
    <row r="462" spans="1:5" x14ac:dyDescent="0.25">
      <c r="A462" s="73"/>
      <c r="B462" s="28"/>
      <c r="C462" s="22"/>
      <c r="E462" s="22"/>
    </row>
    <row r="463" spans="1:5" x14ac:dyDescent="0.25">
      <c r="A463" s="73"/>
      <c r="B463" s="28"/>
      <c r="C463" s="22"/>
      <c r="E463" s="22"/>
    </row>
    <row r="464" spans="1:5" x14ac:dyDescent="0.25">
      <c r="A464" s="73"/>
      <c r="B464" s="28"/>
      <c r="C464" s="22"/>
      <c r="E464" s="22"/>
    </row>
    <row r="465" spans="1:5" x14ac:dyDescent="0.25">
      <c r="A465" s="73"/>
      <c r="B465" s="28"/>
      <c r="C465" s="22"/>
      <c r="E465" s="22"/>
    </row>
    <row r="466" spans="1:5" x14ac:dyDescent="0.25">
      <c r="A466" s="73"/>
      <c r="B466" s="28"/>
      <c r="C466" s="22"/>
      <c r="E466" s="22"/>
    </row>
    <row r="467" spans="1:5" x14ac:dyDescent="0.25">
      <c r="A467" s="73"/>
      <c r="B467" s="28"/>
      <c r="C467" s="22"/>
      <c r="E467" s="22"/>
    </row>
    <row r="468" spans="1:5" x14ac:dyDescent="0.25">
      <c r="A468" s="73"/>
      <c r="B468" s="28"/>
      <c r="C468" s="22"/>
      <c r="E468" s="22"/>
    </row>
    <row r="469" spans="1:5" x14ac:dyDescent="0.25">
      <c r="A469" s="73"/>
      <c r="B469" s="28"/>
      <c r="C469" s="22"/>
      <c r="E469" s="22"/>
    </row>
    <row r="470" spans="1:5" x14ac:dyDescent="0.25">
      <c r="A470" s="73"/>
      <c r="B470" s="28"/>
      <c r="C470" s="22"/>
      <c r="E470" s="22"/>
    </row>
    <row r="471" spans="1:5" x14ac:dyDescent="0.25">
      <c r="A471" s="73"/>
      <c r="B471" s="28"/>
      <c r="C471" s="22"/>
      <c r="E471" s="22"/>
    </row>
    <row r="472" spans="1:5" x14ac:dyDescent="0.25">
      <c r="A472" s="73"/>
      <c r="B472" s="28"/>
      <c r="C472" s="22"/>
      <c r="E472" s="22"/>
    </row>
    <row r="473" spans="1:5" x14ac:dyDescent="0.25">
      <c r="A473" s="73"/>
      <c r="B473" s="28"/>
      <c r="C473" s="22"/>
      <c r="E473" s="22"/>
    </row>
    <row r="474" spans="1:5" x14ac:dyDescent="0.25">
      <c r="A474" s="73"/>
      <c r="B474" s="28"/>
      <c r="C474" s="22"/>
      <c r="E474" s="22"/>
    </row>
    <row r="475" spans="1:5" x14ac:dyDescent="0.25">
      <c r="A475" s="73"/>
      <c r="B475" s="28"/>
      <c r="C475" s="22"/>
      <c r="E475" s="22"/>
    </row>
    <row r="476" spans="1:5" x14ac:dyDescent="0.25">
      <c r="A476" s="73"/>
      <c r="B476" s="28"/>
      <c r="C476" s="22"/>
      <c r="E476" s="22"/>
    </row>
    <row r="477" spans="1:5" x14ac:dyDescent="0.25">
      <c r="A477" s="73"/>
      <c r="B477" s="28"/>
      <c r="C477" s="22"/>
      <c r="E477" s="22"/>
    </row>
    <row r="478" spans="1:5" x14ac:dyDescent="0.25">
      <c r="A478" s="73"/>
      <c r="B478" s="28"/>
      <c r="C478" s="22"/>
      <c r="E478" s="22"/>
    </row>
    <row r="479" spans="1:5" x14ac:dyDescent="0.25">
      <c r="A479" s="73"/>
      <c r="B479" s="28"/>
      <c r="C479" s="22"/>
      <c r="E479" s="22"/>
    </row>
    <row r="480" spans="1:5" x14ac:dyDescent="0.25">
      <c r="A480" s="73"/>
      <c r="B480" s="28"/>
      <c r="C480" s="22"/>
      <c r="E480" s="22"/>
    </row>
    <row r="481" spans="1:5" x14ac:dyDescent="0.25">
      <c r="A481" s="73"/>
      <c r="B481" s="28"/>
      <c r="C481" s="22"/>
      <c r="E481" s="22"/>
    </row>
    <row r="482" spans="1:5" x14ac:dyDescent="0.25">
      <c r="A482" s="73"/>
      <c r="B482" s="28"/>
      <c r="C482" s="22"/>
      <c r="E482" s="22"/>
    </row>
  </sheetData>
  <pageMargins left="0.25" right="0.25" top="0.75" bottom="0.75" header="0.3" footer="0.3"/>
  <pageSetup paperSize="9" scale="51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4:B24"/>
  <sheetViews>
    <sheetView topLeftCell="A4" workbookViewId="0">
      <selection activeCell="B4" sqref="B4:B16387"/>
    </sheetView>
  </sheetViews>
  <sheetFormatPr defaultRowHeight="15" x14ac:dyDescent="0.25"/>
  <cols>
    <col min="1" max="1" width="16.85546875" customWidth="1"/>
    <col min="2" max="2" width="36.140625" customWidth="1"/>
  </cols>
  <sheetData>
    <row r="4" spans="1:2" ht="15.75" x14ac:dyDescent="0.25">
      <c r="A4" s="4" t="s">
        <v>44</v>
      </c>
      <c r="B4" s="18">
        <v>44111</v>
      </c>
    </row>
    <row r="5" spans="1:2" x14ac:dyDescent="0.25">
      <c r="A5" s="8" t="s">
        <v>13</v>
      </c>
      <c r="B5">
        <v>365</v>
      </c>
    </row>
    <row r="6" spans="1:2" ht="15.75" x14ac:dyDescent="0.25">
      <c r="A6" s="4" t="s">
        <v>4</v>
      </c>
      <c r="B6" t="s">
        <v>148</v>
      </c>
    </row>
    <row r="7" spans="1:2" ht="15.75" x14ac:dyDescent="0.25">
      <c r="A7" s="7" t="s">
        <v>22</v>
      </c>
      <c r="B7">
        <v>7928</v>
      </c>
    </row>
    <row r="8" spans="1:2" x14ac:dyDescent="0.25">
      <c r="A8" s="9" t="s">
        <v>10</v>
      </c>
      <c r="B8">
        <v>5</v>
      </c>
    </row>
    <row r="9" spans="1:2" x14ac:dyDescent="0.25">
      <c r="A9" s="9" t="s">
        <v>11</v>
      </c>
      <c r="B9" t="s">
        <v>149</v>
      </c>
    </row>
    <row r="10" spans="1:2" ht="15.75" x14ac:dyDescent="0.25">
      <c r="A10" s="4" t="s">
        <v>12</v>
      </c>
      <c r="B10" t="s">
        <v>140</v>
      </c>
    </row>
    <row r="11" spans="1:2" x14ac:dyDescent="0.25">
      <c r="A11" t="s">
        <v>14</v>
      </c>
      <c r="B11">
        <v>320</v>
      </c>
    </row>
    <row r="12" spans="1:2" x14ac:dyDescent="0.25">
      <c r="A12" t="s">
        <v>40</v>
      </c>
      <c r="B12" s="74">
        <v>44112</v>
      </c>
    </row>
    <row r="13" spans="1:2" x14ac:dyDescent="0.25">
      <c r="A13" s="9" t="s">
        <v>23</v>
      </c>
      <c r="B13">
        <v>5</v>
      </c>
    </row>
    <row r="14" spans="1:2" x14ac:dyDescent="0.25">
      <c r="A14" t="s">
        <v>24</v>
      </c>
      <c r="B14" t="s">
        <v>144</v>
      </c>
    </row>
    <row r="15" spans="1:2" x14ac:dyDescent="0.25">
      <c r="A15" t="s">
        <v>41</v>
      </c>
      <c r="B15" t="s">
        <v>109</v>
      </c>
    </row>
    <row r="16" spans="1:2" x14ac:dyDescent="0.25">
      <c r="A16" t="s">
        <v>42</v>
      </c>
      <c r="B16" t="s">
        <v>106</v>
      </c>
    </row>
    <row r="17" spans="1:2" x14ac:dyDescent="0.25">
      <c r="A17" t="s">
        <v>43</v>
      </c>
      <c r="B17" t="s">
        <v>110</v>
      </c>
    </row>
    <row r="18" spans="1:2" x14ac:dyDescent="0.25">
      <c r="A18" t="s">
        <v>58</v>
      </c>
      <c r="B18" t="s">
        <v>150</v>
      </c>
    </row>
    <row r="19" spans="1:2" x14ac:dyDescent="0.25">
      <c r="A19" t="s">
        <v>45</v>
      </c>
      <c r="B19" t="s">
        <v>29</v>
      </c>
    </row>
    <row r="20" spans="1:2" x14ac:dyDescent="0.25">
      <c r="A20" t="s">
        <v>46</v>
      </c>
      <c r="B20" t="s">
        <v>29</v>
      </c>
    </row>
    <row r="21" spans="1:2" x14ac:dyDescent="0.25">
      <c r="A21" t="s">
        <v>47</v>
      </c>
      <c r="B21" t="s">
        <v>29</v>
      </c>
    </row>
    <row r="22" spans="1:2" x14ac:dyDescent="0.25">
      <c r="A22" t="s">
        <v>48</v>
      </c>
      <c r="B22" t="s">
        <v>29</v>
      </c>
    </row>
    <row r="23" spans="1:2" x14ac:dyDescent="0.25">
      <c r="B23" t="s">
        <v>29</v>
      </c>
    </row>
    <row r="24" spans="1:2" x14ac:dyDescent="0.25">
      <c r="B24" t="s">
        <v>29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"/>
  <sheetViews>
    <sheetView workbookViewId="0">
      <selection activeCell="A15" sqref="A15"/>
    </sheetView>
  </sheetViews>
  <sheetFormatPr defaultRowHeight="15" x14ac:dyDescent="0.25"/>
  <cols>
    <col min="1" max="1" width="25.85546875" customWidth="1"/>
    <col min="3" max="3" width="37.28515625" customWidth="1"/>
  </cols>
  <sheetData>
    <row r="1" spans="1:5" x14ac:dyDescent="0.25">
      <c r="A1" t="s">
        <v>18</v>
      </c>
      <c r="C1" s="100"/>
      <c r="D1" s="100" t="s">
        <v>137</v>
      </c>
      <c r="E1" s="100" t="s">
        <v>138</v>
      </c>
    </row>
    <row r="2" spans="1:5" x14ac:dyDescent="0.25">
      <c r="A2" t="s">
        <v>106</v>
      </c>
      <c r="C2" s="100" t="s">
        <v>119</v>
      </c>
      <c r="D2" s="100"/>
      <c r="E2" s="100"/>
    </row>
    <row r="3" spans="1:5" x14ac:dyDescent="0.25">
      <c r="A3" t="s">
        <v>64</v>
      </c>
      <c r="C3" s="100" t="s">
        <v>120</v>
      </c>
      <c r="D3" s="100" t="s">
        <v>133</v>
      </c>
      <c r="E3" s="100"/>
    </row>
    <row r="4" spans="1:5" x14ac:dyDescent="0.25">
      <c r="A4" t="s">
        <v>21</v>
      </c>
      <c r="C4" s="100" t="s">
        <v>121</v>
      </c>
      <c r="D4" s="100" t="s">
        <v>134</v>
      </c>
      <c r="E4" s="100"/>
    </row>
    <row r="5" spans="1:5" x14ac:dyDescent="0.25">
      <c r="A5" t="s">
        <v>25</v>
      </c>
      <c r="C5" s="100" t="s">
        <v>122</v>
      </c>
      <c r="D5" s="100" t="s">
        <v>135</v>
      </c>
      <c r="E5" s="100"/>
    </row>
    <row r="6" spans="1:5" x14ac:dyDescent="0.25">
      <c r="A6" t="s">
        <v>27</v>
      </c>
      <c r="C6" s="100" t="s">
        <v>123</v>
      </c>
      <c r="D6" s="100" t="s">
        <v>130</v>
      </c>
      <c r="E6" s="100"/>
    </row>
    <row r="7" spans="1:5" x14ac:dyDescent="0.25">
      <c r="A7" t="s">
        <v>145</v>
      </c>
      <c r="C7" s="100" t="s">
        <v>146</v>
      </c>
      <c r="D7" s="100" t="s">
        <v>129</v>
      </c>
      <c r="E7" s="100"/>
    </row>
    <row r="8" spans="1:5" x14ac:dyDescent="0.25">
      <c r="A8" t="s">
        <v>28</v>
      </c>
      <c r="C8" s="100" t="s">
        <v>124</v>
      </c>
      <c r="D8" s="100" t="s">
        <v>132</v>
      </c>
      <c r="E8" s="100"/>
    </row>
    <row r="9" spans="1:5" x14ac:dyDescent="0.25">
      <c r="A9" t="s">
        <v>32</v>
      </c>
      <c r="C9" s="100" t="s">
        <v>125</v>
      </c>
      <c r="D9" s="100" t="s">
        <v>132</v>
      </c>
      <c r="E9" s="100"/>
    </row>
    <row r="10" spans="1:5" x14ac:dyDescent="0.25">
      <c r="A10" t="s">
        <v>62</v>
      </c>
      <c r="C10" s="100" t="s">
        <v>126</v>
      </c>
      <c r="D10" s="100"/>
      <c r="E10" s="100"/>
    </row>
    <row r="11" spans="1:5" x14ac:dyDescent="0.25">
      <c r="A11" t="s">
        <v>117</v>
      </c>
      <c r="C11" s="100" t="s">
        <v>127</v>
      </c>
      <c r="D11" s="100" t="s">
        <v>136</v>
      </c>
      <c r="E11" s="100"/>
    </row>
    <row r="12" spans="1:5" x14ac:dyDescent="0.25">
      <c r="A12" t="s">
        <v>116</v>
      </c>
      <c r="C12" s="100" t="s">
        <v>128</v>
      </c>
      <c r="D12" s="100" t="s">
        <v>131</v>
      </c>
      <c r="E12" s="100"/>
    </row>
    <row r="13" spans="1:5" x14ac:dyDescent="0.25">
      <c r="A13" t="s">
        <v>140</v>
      </c>
      <c r="C13" s="106" t="s">
        <v>139</v>
      </c>
    </row>
    <row r="14" spans="1:5" x14ac:dyDescent="0.25">
      <c r="A14" t="s">
        <v>147</v>
      </c>
    </row>
  </sheetData>
  <sortState ref="A1:A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Ввод</vt:lpstr>
      <vt:lpstr>Реестр</vt:lpstr>
      <vt:lpstr>Bookmarks</vt:lpstr>
      <vt:lpstr>Список_контролеров</vt:lpstr>
      <vt:lpstr>Act</vt:lpstr>
      <vt:lpstr>CatBrak</vt:lpstr>
      <vt:lpstr>ColAct</vt:lpstr>
      <vt:lpstr>ColKvr</vt:lpstr>
      <vt:lpstr>ContentToClearAct</vt:lpstr>
      <vt:lpstr>ContentToClearKvr</vt:lpstr>
      <vt:lpstr>Data</vt:lpstr>
      <vt:lpstr>Bookmarks!Decimal</vt:lpstr>
      <vt:lpstr>Decymal</vt:lpstr>
      <vt:lpstr>FIO</vt:lpstr>
      <vt:lpstr>hasErrors</vt:lpstr>
      <vt:lpstr>IspBrak</vt:lpstr>
      <vt:lpstr>NumDoc</vt:lpstr>
      <vt:lpstr>NumMc</vt:lpstr>
      <vt:lpstr>OpDef</vt:lpstr>
      <vt:lpstr>PrichBrak</vt:lpstr>
      <vt:lpstr>Реестр!Print_Area</vt:lpstr>
      <vt:lpstr>TypeDoc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Дом</dc:creator>
  <cp:lastModifiedBy>UserW</cp:lastModifiedBy>
  <cp:lastPrinted>2020-09-28T04:46:57Z</cp:lastPrinted>
  <dcterms:created xsi:type="dcterms:W3CDTF">2006-09-16T00:00:00Z</dcterms:created>
  <dcterms:modified xsi:type="dcterms:W3CDTF">2020-10-26T09:38:51Z</dcterms:modified>
</cp:coreProperties>
</file>